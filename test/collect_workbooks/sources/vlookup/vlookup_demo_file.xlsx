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drawings/drawing1.xml" ContentType="application/vnd.openxmlformats-officedocument.drawing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custom.xml" ContentType="application/vnd.openxmlformats-officedocument.custom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llect_params_base" sheetId="1" state="visible" r:id="rId3"/>
    <sheet name="collect_params_pre_complex" sheetId="2" state="visible" r:id="rId4"/>
    <sheet name="collect_params_complex" sheetId="3" state="visible" r:id="rId5"/>
    <sheet name="_Визард_Списки" sheetId="4" state="hidden" r:id="rId6"/>
    <sheet name="collect_params_clean_complex" sheetId="5" state="visible" r:id="rId7"/>
    <sheet name="Заказы" sheetId="6" state="visible" r:id="rId8"/>
    <sheet name="Сводная" sheetId="7" state="visible" r:id="rId9"/>
  </sheets>
  <definedNames>
    <definedName function="false" hidden="true" localSheetId="5" name="_xlnm._FilterDatabase" vbProcedure="false">Заказы!$A$1:$M$185</definedName>
  </definedNames>
  <calcPr iterateCount="100" refMode="A1" iterate="false" iterateDelta="0.0001"/>
  <pivotCaches>
    <pivotCache cacheId="1" r:id="rId11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<sst xmlns="http://schemas.openxmlformats.org/spreadsheetml/2006/main" count="2244" uniqueCount="318">
  <si>
    <t xml:space="preserve">Параметр</t>
  </si>
  <si>
    <t xml:space="preserve">Значение 1</t>
  </si>
  <si>
    <t xml:space="preserve">Значение 2</t>
  </si>
  <si>
    <t xml:space="preserve">Комментарий</t>
  </si>
  <si>
    <t xml:space="preserve">Демонстрация возможности фунции ВПР на листах текущей книги</t>
  </si>
  <si>
    <t xml:space="preserve">Версия</t>
  </si>
  <si>
    <t xml:space="preserve">3.10.798</t>
  </si>
  <si>
    <t xml:space="preserve">Отображение_прогресса</t>
  </si>
  <si>
    <t xml:space="preserve">Диалог</t>
  </si>
  <si>
    <t xml:space="preserve">Файлы-Источники</t>
  </si>
  <si>
    <t xml:space="preserve">/home/su/projects/python/libre-macros/test/collect_workbooks/sources/vlookup/vlookup_1toN_for_demo.xlsx</t>
  </si>
  <si>
    <t xml:space="preserve">MERGE_DEBUG</t>
  </si>
  <si>
    <t xml:space="preserve">Нет</t>
  </si>
  <si>
    <t xml:space="preserve">MERGE_CREATE_LOG_SHEET</t>
  </si>
  <si>
    <t xml:space="preserve">Листы</t>
  </si>
  <si>
    <t xml:space="preserve">Заказы, Справочник_цен</t>
  </si>
  <si>
    <t xml:space="preserve">Начало_Строка</t>
  </si>
  <si>
    <t xml:space="preserve">2</t>
  </si>
  <si>
    <t xml:space="preserve">Начало_Столбец</t>
  </si>
  <si>
    <t xml:space="preserve">1</t>
  </si>
  <si>
    <t xml:space="preserve">Число_Строк</t>
  </si>
  <si>
    <t xml:space="preserve">Число_Столбцов</t>
  </si>
  <si>
    <t xml:space="preserve">Строка_Заголовков</t>
  </si>
  <si>
    <t xml:space="preserve">Режим</t>
  </si>
  <si>
    <t xml:space="preserve">Копирование листов</t>
  </si>
  <si>
    <t xml:space="preserve">ВПР</t>
  </si>
  <si>
    <t xml:space="preserve">[{"v":1,"fn":"впр","left":{"sheet":"Заказы","start_row":2,"start_col":1,"header_row":1},"right":{"sheet":"Справочник_цен","start_row":2,"start_col":1,"header_row":1},"keys_same":false,"keys_left":["'Регион_заказа'","'Код_товара'"],"keys_right":["'Регион_поставки'","'Код_товара'"],"extract_columns":["'Цена'","'Коэф_наценки'","'Наименование'","'Поставщик'","'Срок_поставки_дней'"],"join_type":"left","highlight_color":"серый","fill_duplicates":false,"not_found_fill":"???","multi_match_one_cell":false,"multi_match":"all","trim_keys":true,"value_delimiter":"\\n","column_suffix":false}]</t>
  </si>
  <si>
    <t xml:space="preserve">Да</t>
  </si>
  <si>
    <t xml:space="preserve">MERGE_XML_CONVERT_TO_NUMBERS</t>
  </si>
  <si>
    <t xml:space="preserve">Справочник_цен</t>
  </si>
  <si>
    <t xml:space="preserve">__Постобработка_Диапазон</t>
  </si>
  <si>
    <t xml:space="preserve">сводная_таблица</t>
  </si>
  <si>
    <t xml:space="preserve">[{"v":1,"fn":"сводная_таблица","source_sheet":"Справочник_цен","header_row":"","data_start":"","data_end":"","sheet_name":"Поставщики","as_values":true,"row_fields":["Поставщик"],"column_fields":[],"filter_fields":[],"data_fields":[{"field":"Код_товара","function":"COUNT"}]}]</t>
  </si>
  <si>
    <t xml:space="preserve">Постобработка_Диапазон</t>
  </si>
  <si>
    <t xml:space="preserve">удалить_дубликаты</t>
  </si>
  <si>
    <t xml:space="preserve">[{"v":1,"fn":"удалить_дубликаты","key_columns":["'Поставщик'"],"exclude_columns":[],"skip_empty_cells":true,"keep":"first","pre_sort":[],"output":"new_sheet","dest_sheet":"Поставщики","trim":true,"case_sensitive":false,"mark_duplicates":false,"compare_as":"text","empty_key_policy":"skip","as_values":true,"sheet":"Справочник_цен"}]</t>
  </si>
  <si>
    <t xml:space="preserve">__Финальная_обработка</t>
  </si>
  <si>
    <t xml:space="preserve">удалить_столбцы</t>
  </si>
  <si>
    <t xml:space="preserve">[{"v":1,"fn":"удалить_столбцы","markers":[2],"sheet":"Поставщики"}]</t>
  </si>
  <si>
    <t xml:space="preserve">Финальная_обработка</t>
  </si>
  <si>
    <t xml:space="preserve">[{"v":1,"fn":"удалить_столбцы","markers":["'Регион_поставки'","'Код_товара'","'Наименование'","'Цена'","'Дата_цены'","'Срок_поставки_дней'","'Коэф_наценки'"],"sheet":"Поставщики"}]</t>
  </si>
  <si>
    <t xml:space="preserve">пропуск_пустых_строк</t>
  </si>
  <si>
    <t xml:space="preserve">[{"v":1,"fn":"удаление_строк","mode":"formula","formula":"A{row_id} = \"Итог Результат\"","sheet":"Поставщики"}]</t>
  </si>
  <si>
    <t xml:space="preserve">условный_столбец</t>
  </si>
  <si>
    <t xml:space="preserve">[{"v":1,"fn":"сводная_таблица","source_sheet":"Заказы_2","header_row":"","data_start":"","data_end":"","sheet_name":"","as_values":false,"row_fields":["Номер_заказа","Код_товара","Наименование"],"column_fields":[],"filter_fields":["Поставщик"],"data_fields":[{"field":"Стоимость_по_позиции","function":"SUM"}],"new_column":"link","position":"_конец_","output_policy":"new","trim":true,"case_sensitive":false,"compare_as":"auto","blank_left":"as_empty","non_comparable":"false","rules":[{"column":"Поставщик","op":"ne","value":"Итог Результат","then":"1"}],"otherwise":"0","relative_column":"Поставщик","sheet":"Поставщики"}]</t>
  </si>
  <si>
    <t xml:space="preserve">автофильтр</t>
  </si>
  <si>
    <t xml:space="preserve">[{"v":1,"fn":"автофильтр","sheets":["Поставщики"],"action":"remove"}]</t>
  </si>
  <si>
    <t xml:space="preserve">[{"v":1,"fn":"автофильтр","sheets":["Поставщики"],"action":"set"}]</t>
  </si>
  <si>
    <t xml:space="preserve">авто_ширина</t>
  </si>
  <si>
    <t xml:space="preserve">[{"v":1,"fn":"авто_ширина","sheets":["Поставщики"]}]</t>
  </si>
  <si>
    <t xml:space="preserve">удалить_листы</t>
  </si>
  <si>
    <t xml:space="preserve">[{"v":1,"fn":"удаление_листов","sheets":["Справочник_цен"]}]</t>
  </si>
  <si>
    <t xml:space="preserve">Листы_не_удалять</t>
  </si>
  <si>
    <t xml:space="preserve">Поставщики</t>
  </si>
  <si>
    <t xml:space="preserve">применить_формулу</t>
  </si>
  <si>
    <t xml:space="preserve">[{"v":1,"fn":"применить_формулу","column":"link","formula":"=1","as_values":false,"sheet":"Заказы"}]</t>
  </si>
  <si>
    <t xml:space="preserve">[{"v":1,"fn":"впр","left":{"sheet":"Заказы","start_row":2,"start_col":1,"header_row":1},"right":{"sheet":"Поставщики","start_row":2,"start_col":1,"header_row":1},"keys_same":false,"keys_left":["'link'"],"keys_right":["'link'"],"extract_columns":["'Поставщик'"],"join_type":"left","highlight_color":"серый","fill_duplicates":true,"not_found_fill":"???","multi_match_one_cell":false,"multi_match":"all","trim_keys":true,"value_delimiter":"\\n","column_suffix":false}]</t>
  </si>
  <si>
    <t xml:space="preserve">[{"v":1,"fn":"впр","left":{"sheet":"Заказы","start_row":2,"start_col":1,"header_row":1},"right":{"sheet":"Справочник_цен","start_row":2,"start_col":1,"header_row":1},"keys_same":false,"keys_left":["'Регион_заказа'","'Код_товара'","'Поставщик'"],"keys_right":["'Регион_поставки'","'Код_товара'","'Поставщик'"],"extract_columns":["'Цена'","'Коэф_наценки'","'Наименование'","'Срок_поставки_дней'"],"join_type":"left","highlight_color":"серый","fill_duplicates":true,"not_found_fill":"0","multi_match_one_cell":false,"multi_match":"all","trim_keys":true,"value_delimiter":"\\n","column_suffix":false}]</t>
  </si>
  <si>
    <t xml:space="preserve">[{"v":1,"fn":"удалить_столбцы","markers":["'link'","'Сумма_база'"],"sheet":"Заказы"}]</t>
  </si>
  <si>
    <t xml:space="preserve">[{"v":1,"fn":"применить_формулу","column":"Стоимость_по_позиции","formula":"=[Количество]{row_id}*[Цена]{row_id}*[Коэф_наценки]{row_id}","format":"# ##0,00","as_values":false,"sheet":"Заказы"}]</t>
  </si>
  <si>
    <t xml:space="preserve">заголовок_плюс_высота</t>
  </si>
  <si>
    <t xml:space="preserve">[{"v":1,"fn":"заголовок_плюс_высота","height_mm":12.7,"add_height":false,"h_align":"center","v_align":"center","bold":true,"font_name":"","font_size":14.0,"fill_color":"darkblue","font_color":"","font_color_auto":true,"sheet":"Заказы"}]</t>
  </si>
  <si>
    <t xml:space="preserve">[{"v":1,"fn":"авто_ширина","sheets":["Заказы"]}]</t>
  </si>
  <si>
    <t xml:space="preserve">сетка</t>
  </si>
  <si>
    <t xml:space="preserve">[{"v":1,"fn":"сетка","width":"толстая","color":"darkblue","include_header":true,"sheet":"Заказы"}]</t>
  </si>
  <si>
    <t xml:space="preserve">[{"v":1,"fn":"автофильтр","sheets":["Заказы"],"action":"remove"}]</t>
  </si>
  <si>
    <t xml:space="preserve">[{"v":1,"fn":"автофильтр","sheets":["Заказы"],"action":"set"}]</t>
  </si>
  <si>
    <t xml:space="preserve">[{"v":1,"fn":"сводная_таблица","source_sheet":"Заказы","header_row":"","data_start":"","data_end":"","sheet_name":"","as_values":false,"row_fields":["Номер_заказа","Код_товара","Наименование","Поставщик"],"column_fields":[],"filter_fields":[],"data_fields":[{"field":"Стоимость_по_позиции","function":"SUM"}]}]</t>
  </si>
  <si>
    <t xml:space="preserve">add_merge</t>
  </si>
  <si>
    <t xml:space="preserve">atext_letters</t>
  </si>
  <si>
    <t xml:space="preserve">copy_range</t>
  </si>
  <si>
    <t xml:space="preserve">Доп_Параметры_Источника</t>
  </si>
  <si>
    <t xml:space="preserve">copy_ranges</t>
  </si>
  <si>
    <t xml:space="preserve">Предварительный_скрипт</t>
  </si>
  <si>
    <t xml:space="preserve">fill_up</t>
  </si>
  <si>
    <t xml:space="preserve">email</t>
  </si>
  <si>
    <t xml:space="preserve">form_to_table</t>
  </si>
  <si>
    <t xml:space="preserve">group_by</t>
  </si>
  <si>
    <t xml:space="preserve">Столбцы</t>
  </si>
  <si>
    <t xml:space="preserve">groupby</t>
  </si>
  <si>
    <t xml:space="preserve">table_to_form</t>
  </si>
  <si>
    <t xml:space="preserve">transpose</t>
  </si>
  <si>
    <t xml:space="preserve">mail_merge_files</t>
  </si>
  <si>
    <t xml:space="preserve">transpose_table</t>
  </si>
  <si>
    <t xml:space="preserve">mailto</t>
  </si>
  <si>
    <t xml:space="preserve">unmerge_collapse</t>
  </si>
  <si>
    <t xml:space="preserve">send_mail</t>
  </si>
  <si>
    <t xml:space="preserve">unpivot</t>
  </si>
  <si>
    <t xml:space="preserve">Источник_в_первой_колонке</t>
  </si>
  <si>
    <t xml:space="preserve">unpivot_columns</t>
  </si>
  <si>
    <t xml:space="preserve">Дата_источника_во_второй_колонке</t>
  </si>
  <si>
    <t xml:space="preserve">авто_высота</t>
  </si>
  <si>
    <t xml:space="preserve">Дата_источника_во_второй__колонке</t>
  </si>
  <si>
    <t xml:space="preserve">Способ_переноса</t>
  </si>
  <si>
    <t xml:space="preserve">анкета_в_таблицу</t>
  </si>
  <si>
    <t xml:space="preserve">MERGE_XML_DATETIME_FORMATS</t>
  </si>
  <si>
    <t xml:space="preserve">вставить_диапазон</t>
  </si>
  <si>
    <t xml:space="preserve">MERGE_SOURCE_VIEW_SUBFOLDERS</t>
  </si>
  <si>
    <t xml:space="preserve">высота_строки</t>
  </si>
  <si>
    <t xml:space="preserve">MERGE_SOURCE_EXCLUDE_MASK</t>
  </si>
  <si>
    <t xml:space="preserve">градиент</t>
  </si>
  <si>
    <t xml:space="preserve">активировать_лист</t>
  </si>
  <si>
    <t xml:space="preserve">группировать_строки</t>
  </si>
  <si>
    <t xml:space="preserve">MERGE_DEBUG_CONSOLE_LOG_TO_WORKSHEET</t>
  </si>
  <si>
    <t xml:space="preserve">группировка_по_столбцу</t>
  </si>
  <si>
    <t xml:space="preserve">вертикаль_центр</t>
  </si>
  <si>
    <t xml:space="preserve">добавить_объединение</t>
  </si>
  <si>
    <t xml:space="preserve">MERGE_DO_EMPTY_SHEETS</t>
  </si>
  <si>
    <t xml:space="preserve">добавить_столбец</t>
  </si>
  <si>
    <t xml:space="preserve">Листы_удалить</t>
  </si>
  <si>
    <t xml:space="preserve">закрепить_заголовок</t>
  </si>
  <si>
    <t xml:space="preserve">Пропуск_строк_источника</t>
  </si>
  <si>
    <t xml:space="preserve">замена_значений</t>
  </si>
  <si>
    <t xml:space="preserve">удаление_верхних_строк</t>
  </si>
  <si>
    <t xml:space="preserve">заполнение_вверх</t>
  </si>
  <si>
    <t xml:space="preserve">Автообрезка_листов</t>
  </si>
  <si>
    <t xml:space="preserve">заполнение_вниз</t>
  </si>
  <si>
    <t xml:space="preserve">MERGE_PASTE_FORMATS</t>
  </si>
  <si>
    <t xml:space="preserve">заполнение_вниз_вычислить</t>
  </si>
  <si>
    <t xml:space="preserve">Автофильтр_результата</t>
  </si>
  <si>
    <t xml:space="preserve">заполнить_вверх</t>
  </si>
  <si>
    <t xml:space="preserve">Закрепить_заголовок</t>
  </si>
  <si>
    <t xml:space="preserve">зебра_диапазон</t>
  </si>
  <si>
    <t xml:space="preserve">количество_значений</t>
  </si>
  <si>
    <t xml:space="preserve">конкатенация_столбцов</t>
  </si>
  <si>
    <t xml:space="preserve">Постобработка_Строка</t>
  </si>
  <si>
    <t xml:space="preserve">копирование_диапазонов</t>
  </si>
  <si>
    <t xml:space="preserve">Постобработка_xml</t>
  </si>
  <si>
    <t xml:space="preserve">копировать_диапазон</t>
  </si>
  <si>
    <t xml:space="preserve">копировать_как_значения</t>
  </si>
  <si>
    <t xml:space="preserve">копировать_переместить_лист</t>
  </si>
  <si>
    <t xml:space="preserve">объединить_листы_в_один</t>
  </si>
  <si>
    <t xml:space="preserve">левое_выравнивание</t>
  </si>
  <si>
    <t xml:space="preserve">разделить_листы</t>
  </si>
  <si>
    <t xml:space="preserve">объединить_ячейки</t>
  </si>
  <si>
    <t xml:space="preserve">Ячейка_В_Столбец</t>
  </si>
  <si>
    <t xml:space="preserve">отступ</t>
  </si>
  <si>
    <t xml:space="preserve">Добавить_в_карту_переменных</t>
  </si>
  <si>
    <t xml:space="preserve">переименовать_лист</t>
  </si>
  <si>
    <t xml:space="preserve">Ручной_ввод_в_карту_переменных</t>
  </si>
  <si>
    <t xml:space="preserve">переименовать_столбцы</t>
  </si>
  <si>
    <t xml:space="preserve">MERGE_BATCH_COPY_MIN_ROWS</t>
  </si>
  <si>
    <t xml:space="preserve">перенос</t>
  </si>
  <si>
    <t xml:space="preserve">MERGE_COPY_ROW_CHUNK</t>
  </si>
  <si>
    <t xml:space="preserve">перенос_и_авто_высота</t>
  </si>
  <si>
    <t xml:space="preserve">отправить_по_почте</t>
  </si>
  <si>
    <t xml:space="preserve">MERGE_FONT_SIZE</t>
  </si>
  <si>
    <t xml:space="preserve">переставить_столбцы</t>
  </si>
  <si>
    <t xml:space="preserve">MERGE_FORMATTING_MAX_ROWS</t>
  </si>
  <si>
    <t xml:space="preserve">подкрасить_пороги</t>
  </si>
  <si>
    <t xml:space="preserve">MERGE_ROW_POSTPROCESS_MAX_ROWS</t>
  </si>
  <si>
    <t xml:space="preserve">подсветка_по_порогу</t>
  </si>
  <si>
    <t xml:space="preserve">MERGE_UI_STATUS_EVERY_ROWS</t>
  </si>
  <si>
    <t xml:space="preserve">MERGE_UI_YIELD_EVERY_ROWS</t>
  </si>
  <si>
    <t xml:space="preserve">развернуть_столбцы</t>
  </si>
  <si>
    <t xml:space="preserve">разделить_по_столбцам</t>
  </si>
  <si>
    <t xml:space="preserve">письма_по_шаблону</t>
  </si>
  <si>
    <t xml:space="preserve">раскрасить_блоки</t>
  </si>
  <si>
    <t xml:space="preserve">подготовка_писем</t>
  </si>
  <si>
    <t xml:space="preserve">сброс_стрипов</t>
  </si>
  <si>
    <t xml:space="preserve">почта</t>
  </si>
  <si>
    <t xml:space="preserve">скрытие_листов</t>
  </si>
  <si>
    <t xml:space="preserve">снять_объединение</t>
  </si>
  <si>
    <t xml:space="preserve">создать_лист</t>
  </si>
  <si>
    <t xml:space="preserve">сортировка</t>
  </si>
  <si>
    <t xml:space="preserve">стиль_печати</t>
  </si>
  <si>
    <t xml:space="preserve">столбец_по_лямбде</t>
  </si>
  <si>
    <t xml:space="preserve">таблица_в_анкету</t>
  </si>
  <si>
    <t xml:space="preserve">текстовые_операции</t>
  </si>
  <si>
    <t xml:space="preserve">толстая_сетка</t>
  </si>
  <si>
    <t xml:space="preserve">тонкая_сетка</t>
  </si>
  <si>
    <t xml:space="preserve">транспонировать_таблицу</t>
  </si>
  <si>
    <t xml:space="preserve">убрать_объединение</t>
  </si>
  <si>
    <t xml:space="preserve">удаление_листов</t>
  </si>
  <si>
    <t xml:space="preserve">удаление_строк</t>
  </si>
  <si>
    <t xml:space="preserve">условное_форматирование</t>
  </si>
  <si>
    <t xml:space="preserve">только_значения</t>
  </si>
  <si>
    <t xml:space="preserve">формат_даты</t>
  </si>
  <si>
    <t xml:space="preserve">формат_деньги</t>
  </si>
  <si>
    <t xml:space="preserve">формат_столбцы</t>
  </si>
  <si>
    <t xml:space="preserve">функция_плагин</t>
  </si>
  <si>
    <t xml:space="preserve">ширина_столбцов</t>
  </si>
  <si>
    <t xml:space="preserve">шрифт</t>
  </si>
  <si>
    <t xml:space="preserve">удалить_служебные_листы</t>
  </si>
  <si>
    <t xml:space="preserve">такого_листа_точно_нет</t>
  </si>
  <si>
    <t xml:space="preserve">Заказы, Сводная</t>
  </si>
  <si>
    <t xml:space="preserve">[{"v":1,"fn":"удаление_листов","sheets":["Справочник_цен*","Поставщики"]}]</t>
  </si>
  <si>
    <t xml:space="preserve">Номер_заказа</t>
  </si>
  <si>
    <t xml:space="preserve">Регион_заказа</t>
  </si>
  <si>
    <t xml:space="preserve">Код_товара</t>
  </si>
  <si>
    <t xml:space="preserve">Количество</t>
  </si>
  <si>
    <t xml:space="preserve">Дата_заказа</t>
  </si>
  <si>
    <t xml:space="preserve">Менеджер</t>
  </si>
  <si>
    <t xml:space="preserve">Статус</t>
  </si>
  <si>
    <t xml:space="preserve">Поставщик</t>
  </si>
  <si>
    <t xml:space="preserve">Цена</t>
  </si>
  <si>
    <t xml:space="preserve">Коэф_наценки</t>
  </si>
  <si>
    <t xml:space="preserve">Наименование</t>
  </si>
  <si>
    <t xml:space="preserve">Срок_поставки_дней</t>
  </si>
  <si>
    <t xml:space="preserve">Стоимость_по_позиции</t>
  </si>
  <si>
    <t xml:space="preserve">ORD-0000001</t>
  </si>
  <si>
    <t xml:space="preserve">Москва</t>
  </si>
  <si>
    <t xml:space="preserve">SKU-00079</t>
  </si>
  <si>
    <t xml:space="preserve">Иванов</t>
  </si>
  <si>
    <t xml:space="preserve">Новый</t>
  </si>
  <si>
    <t xml:space="preserve">ООО "Факел"</t>
  </si>
  <si>
    <t xml:space="preserve">ООО "МеталлоКонструкции"</t>
  </si>
  <si>
    <t xml:space="preserve">ООО "ТГП-12"</t>
  </si>
  <si>
    <t xml:space="preserve">Крепёж миниатюрный SKU-00079</t>
  </si>
  <si>
    <t xml:space="preserve">ООО "ВГПР Томск"</t>
  </si>
  <si>
    <t xml:space="preserve">SKU-00255</t>
  </si>
  <si>
    <t xml:space="preserve">Модуль влагозащитный SKU-00255</t>
  </si>
  <si>
    <t xml:space="preserve">SKU-00008</t>
  </si>
  <si>
    <t xml:space="preserve">Корпус медный SKU-00008</t>
  </si>
  <si>
    <t xml:space="preserve">ORD-0000002</t>
  </si>
  <si>
    <t xml:space="preserve">Казань</t>
  </si>
  <si>
    <t xml:space="preserve">SKU-00159</t>
  </si>
  <si>
    <t xml:space="preserve">Петров</t>
  </si>
  <si>
    <t xml:space="preserve">Модуль влагозащитный SKU-00159</t>
  </si>
  <si>
    <t xml:space="preserve">SKU-00283</t>
  </si>
  <si>
    <t xml:space="preserve">Крепёж усиленный SKU-00283</t>
  </si>
  <si>
    <t xml:space="preserve">SKU-00328</t>
  </si>
  <si>
    <t xml:space="preserve">Датчик промышленный SKU-00328</t>
  </si>
  <si>
    <t xml:space="preserve">SKU-00175</t>
  </si>
  <si>
    <t xml:space="preserve">Крепёж миниатюрный SKU-00175</t>
  </si>
  <si>
    <t xml:space="preserve">SKU-00102</t>
  </si>
  <si>
    <t xml:space="preserve">Контроллер медный SKU-00102</t>
  </si>
  <si>
    <t xml:space="preserve">SKU-00140</t>
  </si>
  <si>
    <t xml:space="preserve">Корпус промышленный SKU-00140</t>
  </si>
  <si>
    <t xml:space="preserve">ORD-0000003</t>
  </si>
  <si>
    <t xml:space="preserve">Екатеринбург</t>
  </si>
  <si>
    <t xml:space="preserve">SKU-00401</t>
  </si>
  <si>
    <t xml:space="preserve">Сидоров</t>
  </si>
  <si>
    <t xml:space="preserve">Блок питания оптоволоконный SKU-00401</t>
  </si>
  <si>
    <t xml:space="preserve">SKU-00311</t>
  </si>
  <si>
    <t xml:space="preserve">Антенна оптоволоконный SKU-00311</t>
  </si>
  <si>
    <t xml:space="preserve">SKU-00120</t>
  </si>
  <si>
    <t xml:space="preserve">Реле оптоволоконный SKU-00120</t>
  </si>
  <si>
    <t xml:space="preserve">SKU-00174</t>
  </si>
  <si>
    <t xml:space="preserve">Контроллер миниатюрный SKU-00174</t>
  </si>
  <si>
    <t xml:space="preserve">ORD-0000004</t>
  </si>
  <si>
    <t xml:space="preserve">СПб</t>
  </si>
  <si>
    <t xml:space="preserve">SKU-00326</t>
  </si>
  <si>
    <t xml:space="preserve">Козлова</t>
  </si>
  <si>
    <t xml:space="preserve">В работе</t>
  </si>
  <si>
    <t xml:space="preserve">Разъём промышленный SKU-00326</t>
  </si>
  <si>
    <t xml:space="preserve">SKU-00389</t>
  </si>
  <si>
    <t xml:space="preserve">Блок питания медный SKU-00389</t>
  </si>
  <si>
    <t xml:space="preserve">SKU-00007</t>
  </si>
  <si>
    <t xml:space="preserve">Крепёж медный SKU-00007</t>
  </si>
  <si>
    <t xml:space="preserve">ORD-0000005</t>
  </si>
  <si>
    <t xml:space="preserve">SKU-00001</t>
  </si>
  <si>
    <t xml:space="preserve">Новикова</t>
  </si>
  <si>
    <t xml:space="preserve">Кабель медный SKU-00001</t>
  </si>
  <si>
    <t xml:space="preserve">SKU-00445</t>
  </si>
  <si>
    <t xml:space="preserve">Кабель влагозащитный SKU-00445</t>
  </si>
  <si>
    <t xml:space="preserve">SKU-00419</t>
  </si>
  <si>
    <t xml:space="preserve">Антенна экранированный SKU-00419</t>
  </si>
  <si>
    <t xml:space="preserve">SKU-00185</t>
  </si>
  <si>
    <t xml:space="preserve">Блок питания усиленный SKU-00185</t>
  </si>
  <si>
    <t xml:space="preserve">SKU-00136</t>
  </si>
  <si>
    <t xml:space="preserve">Датчик промышленный SKU-00136</t>
  </si>
  <si>
    <t xml:space="preserve">SKU-00060</t>
  </si>
  <si>
    <t xml:space="preserve">Реле бытовой SKU-00060</t>
  </si>
  <si>
    <t xml:space="preserve">ORD-0000006</t>
  </si>
  <si>
    <t xml:space="preserve">SKU-00218</t>
  </si>
  <si>
    <t xml:space="preserve">Разъём экранированный SKU-00218</t>
  </si>
  <si>
    <t xml:space="preserve">SKU-00152</t>
  </si>
  <si>
    <t xml:space="preserve">Корпус бытовой SKU-00152</t>
  </si>
  <si>
    <t xml:space="preserve">ORD-0000007</t>
  </si>
  <si>
    <t xml:space="preserve">SKU-00267</t>
  </si>
  <si>
    <t xml:space="preserve">Модуль миниатюрный SKU-00267</t>
  </si>
  <si>
    <t xml:space="preserve">SKU-00253</t>
  </si>
  <si>
    <t xml:space="preserve">Кабель влагозащитный SKU-00253</t>
  </si>
  <si>
    <t xml:space="preserve">SKU-00312</t>
  </si>
  <si>
    <t xml:space="preserve">Реле оптоволоконный SKU-00312</t>
  </si>
  <si>
    <t xml:space="preserve">SKU-00441</t>
  </si>
  <si>
    <t xml:space="preserve">Фильтр бытовой SKU-00441</t>
  </si>
  <si>
    <t xml:space="preserve">ORD-0000008</t>
  </si>
  <si>
    <t xml:space="preserve">SKU-00367</t>
  </si>
  <si>
    <t xml:space="preserve">Крепёж миниатюрный SKU-00367</t>
  </si>
  <si>
    <t xml:space="preserve">SKU-00123</t>
  </si>
  <si>
    <t xml:space="preserve">Модуль экранированный SKU-00123</t>
  </si>
  <si>
    <t xml:space="preserve">SKU-00248</t>
  </si>
  <si>
    <t xml:space="preserve">Корпус бытовой SKU-00248</t>
  </si>
  <si>
    <t xml:space="preserve">SKU-00215</t>
  </si>
  <si>
    <t xml:space="preserve">Антенна оптоволоконный SKU-00215</t>
  </si>
  <si>
    <t xml:space="preserve">SKU-00450</t>
  </si>
  <si>
    <t xml:space="preserve">Контроллер влагозащитный SKU-00450</t>
  </si>
  <si>
    <t xml:space="preserve">ORD-0000009</t>
  </si>
  <si>
    <t xml:space="preserve">SKU-00011</t>
  </si>
  <si>
    <t xml:space="preserve">Антенна медный SKU-00011</t>
  </si>
  <si>
    <t xml:space="preserve">SKU-00280</t>
  </si>
  <si>
    <t xml:space="preserve">Датчик усиленный SKU-00280</t>
  </si>
  <si>
    <t xml:space="preserve">SKU-00303</t>
  </si>
  <si>
    <t xml:space="preserve">Модуль оптоволоконный SKU-00303</t>
  </si>
  <si>
    <t xml:space="preserve">SKU-00022</t>
  </si>
  <si>
    <t xml:space="preserve">Переходник оптоволоконный SKU-00022</t>
  </si>
  <si>
    <t xml:space="preserve">ORD-0000010</t>
  </si>
  <si>
    <t xml:space="preserve">Краснодар</t>
  </si>
  <si>
    <t xml:space="preserve">SKU-00336</t>
  </si>
  <si>
    <t xml:space="preserve">Реле промышленный SKU-00336</t>
  </si>
  <si>
    <t xml:space="preserve">SKU-00241</t>
  </si>
  <si>
    <t xml:space="preserve">Кабель бытовой SKU-00241</t>
  </si>
  <si>
    <t xml:space="preserve">SKU-00035</t>
  </si>
  <si>
    <t xml:space="preserve">Антенна экранированный SKU-00035</t>
  </si>
  <si>
    <t xml:space="preserve">SKU-00368</t>
  </si>
  <si>
    <t xml:space="preserve">Корпус миниатюрный SKU-00368</t>
  </si>
  <si>
    <t xml:space="preserve">ORD-0000011</t>
  </si>
  <si>
    <t xml:space="preserve">SKU-00235</t>
  </si>
  <si>
    <t xml:space="preserve">Крепёж промышленный SKU-00235</t>
  </si>
  <si>
    <t xml:space="preserve">SKU-00083</t>
  </si>
  <si>
    <t xml:space="preserve">Антенна миниатюрный SKU-00083</t>
  </si>
  <si>
    <t xml:space="preserve">SKU-00064</t>
  </si>
  <si>
    <t xml:space="preserve">Датчик влагозащитный SKU-00064</t>
  </si>
  <si>
    <t xml:space="preserve">Фильтр</t>
  </si>
  <si>
    <t xml:space="preserve">Сумма - Стоимость_по_позиции</t>
  </si>
  <si>
    <t xml:space="preserve">Итог Результат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</si>
</sst>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yyyy\-mm\-dd\ h:mm:ss"/>
    <numFmt numFmtId="167" formatCode="[$-419]#,##0.00"/>
    <numFmt numFmtId="168" formatCode="#,##0.0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PT Sans"/>
      <family val="2"/>
      <charset val="1"/>
    </font>
    <font>
      <sz val="11"/>
      <color rgb="FF000000"/>
      <name val="PT Sans"/>
      <family val="2"/>
      <charset val="1"/>
    </font>
    <font>
      <sz val="12"/>
      <name val="PT Sans"/>
      <family val="2"/>
      <charset val="1"/>
    </font>
    <font>
      <b val="true"/>
      <sz val="14"/>
      <color rgb="FFFFFFFF"/>
      <name val="PT Sans"/>
      <family val="2"/>
      <charset val="1"/>
    </font>
    <font>
      <sz val="11"/>
      <name val="PT Sans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DCE4EE"/>
        <bgColor rgb="FFF0F1F3"/>
      </patternFill>
    </fill>
    <fill>
      <patternFill patternType="solid">
        <fgColor rgb="FFF0F1F3"/>
        <bgColor rgb="FFF2F2F2"/>
      </patternFill>
    </fill>
    <fill>
      <patternFill patternType="solid">
        <fgColor rgb="FF666666"/>
        <bgColor rgb="FF808080"/>
      </patternFill>
    </fill>
    <fill>
      <patternFill patternType="solid">
        <fgColor rgb="FF1F4E79"/>
        <bgColor rgb="FF003366"/>
      </patternFill>
    </fill>
    <fill>
      <patternFill patternType="solid">
        <fgColor rgb="FFF2F2F2"/>
        <bgColor rgb="FFF0F1F3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hair">
        <color rgb="FF808080"/>
      </left>
      <right style="hair">
        <color rgb="FF808080"/>
      </right>
      <top style="hair">
        <color rgb="FF808080"/>
      </top>
      <bottom style="hair">
        <color rgb="FF808080"/>
      </bottom>
      <diagonal/>
    </border>
    <border diagonalUp="false" diagonalDown="false">
      <left style="hair">
        <color rgb="FFB4B4B4"/>
      </left>
      <right style="hair">
        <color rgb="FFB4B4B4"/>
      </right>
      <top style="hair">
        <color rgb="FFB4B4B4"/>
      </top>
      <bottom style="hair">
        <color rgb="FFB4B4B4"/>
      </bottom>
      <diagonal/>
    </border>
    <border diagonalUp="false" diagonalDown="false"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8" fillId="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9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2F2F2"/>
      <rgbColor rgb="FFF0F1F3"/>
      <rgbColor rgb="FF660066"/>
      <rgbColor rgb="FFFF8080"/>
      <rgbColor rgb="FF0066CC"/>
      <rgbColor rgb="FFDC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<Relationship Id="rId11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84" createdVersion="3" refreshOnLoad="1">
  <cacheSource type="worksheet">
    <worksheetSource ref="A1:M185" sheet="Заказы"/>
  </cacheSource>
  <cacheFields count="13">
    <cacheField name="Номер_заказа" numFmtId="0">
      <sharedItems count="11">
        <s v="ORD-0000001"/>
        <s v="ORD-0000002"/>
        <s v="ORD-0000003"/>
        <s v="ORD-0000004"/>
        <s v="ORD-0000005"/>
        <s v="ORD-0000006"/>
        <s v="ORD-0000007"/>
        <s v="ORD-0000008"/>
        <s v="ORD-0000009"/>
        <s v="ORD-0000010"/>
        <s v="ORD-0000011"/>
      </sharedItems>
    </cacheField>
    <cacheField name="Регион_заказа" numFmtId="0">
      <sharedItems count="5">
        <s v="Екатеринбург"/>
        <s v="Казань"/>
        <s v="Краснодар"/>
        <s v="Москва"/>
        <s v="СПб"/>
      </sharedItems>
    </cacheField>
    <cacheField name="Код_товара" numFmtId="0">
      <sharedItems count="44">
        <s v="SKU-00001"/>
        <s v="SKU-00007"/>
        <s v="SKU-00008"/>
        <s v="SKU-00011"/>
        <s v="SKU-00022"/>
        <s v="SKU-00035"/>
        <s v="SKU-00060"/>
        <s v="SKU-00064"/>
        <s v="SKU-00079"/>
        <s v="SKU-00083"/>
        <s v="SKU-00102"/>
        <s v="SKU-00120"/>
        <s v="SKU-00123"/>
        <s v="SKU-00136"/>
        <s v="SKU-00140"/>
        <s v="SKU-00152"/>
        <s v="SKU-00159"/>
        <s v="SKU-00174"/>
        <s v="SKU-00175"/>
        <s v="SKU-00185"/>
        <s v="SKU-00215"/>
        <s v="SKU-00218"/>
        <s v="SKU-00235"/>
        <s v="SKU-00241"/>
        <s v="SKU-00248"/>
        <s v="SKU-00253"/>
        <s v="SKU-00255"/>
        <s v="SKU-00267"/>
        <s v="SKU-00280"/>
        <s v="SKU-00283"/>
        <s v="SKU-00303"/>
        <s v="SKU-00311"/>
        <s v="SKU-00312"/>
        <s v="SKU-00326"/>
        <s v="SKU-00328"/>
        <s v="SKU-00336"/>
        <s v="SKU-00367"/>
        <s v="SKU-00368"/>
        <s v="SKU-00389"/>
        <s v="SKU-00401"/>
        <s v="SKU-00419"/>
        <s v="SKU-00441"/>
        <s v="SKU-00445"/>
        <s v="SKU-00450"/>
      </sharedItems>
    </cacheField>
    <cacheField name="Количество" numFmtId="0">
      <sharedItems containsSemiMixedTypes="0" containsString="0" containsNumber="1" minValue="0.4" maxValue="118" count="45">
        <n v="0.4"/>
        <n v="0.7"/>
        <n v="3.1"/>
        <n v="3.4"/>
        <n v="4.6"/>
        <n v="5.6"/>
        <n v="5.7"/>
        <n v="8.9"/>
        <n v="10"/>
        <n v="10.6"/>
        <n v="11"/>
        <n v="19"/>
        <n v="21"/>
        <n v="23.3"/>
        <n v="25"/>
        <n v="25.8"/>
        <n v="26.4"/>
        <n v="29"/>
        <n v="29.5"/>
        <n v="35.5"/>
        <n v="41"/>
        <n v="44.6"/>
        <n v="46"/>
        <n v="49"/>
        <n v="52.3"/>
        <n v="52.8"/>
        <n v="53.3"/>
        <n v="56"/>
        <n v="60"/>
        <n v="65.1"/>
        <n v="66"/>
        <n v="69"/>
        <n v="69.5"/>
        <n v="70.9"/>
        <n v="79"/>
        <n v="79.9"/>
        <n v="82"/>
        <n v="88.9"/>
        <n v="89"/>
        <n v="89.3"/>
        <n v="93"/>
        <n v="95.1"/>
        <n v="101"/>
        <n v="116"/>
        <n v="118"/>
      </sharedItems>
    </cacheField>
    <cacheField name="Дата_заказа" numFmtId="0">
      <sharedItems containsSemiMixedTypes="0" containsNonDate="0" containsDate="1" containsString="0" minDate="2024-03-01T00:00:00" maxDate="2024-03-11T00:00:00" count="11"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</sharedItems>
    </cacheField>
    <cacheField name="Менеджер" numFmtId="0">
      <sharedItems count="5">
        <s v="Иванов"/>
        <s v="Козлова"/>
        <s v="Новикова"/>
        <s v="Петров"/>
        <s v="Сидоров"/>
      </sharedItems>
    </cacheField>
    <cacheField name="Статус" numFmtId="0">
      <sharedItems count="2">
        <s v="В работе"/>
        <s v="Новый"/>
      </sharedItems>
    </cacheField>
    <cacheField name="Поставщик" numFmtId="0">
      <sharedItems count="4">
        <s v="ООО &quot;ВГПР Томск&quot;"/>
        <s v="ООО &quot;МеталлоКонструкции&quot;"/>
        <s v="ООО &quot;ТГП-12&quot;"/>
        <s v="ООО &quot;Факел&quot;"/>
      </sharedItems>
    </cacheField>
    <cacheField name="Цена" numFmtId="0">
      <sharedItems containsSemiMixedTypes="0" containsString="0" containsNumber="1" containsInteger="1" minValue="0" maxValue="1022" count="76">
        <n v="0"/>
        <n v="135"/>
        <n v="136"/>
        <n v="141"/>
        <n v="150"/>
        <n v="151"/>
        <n v="191"/>
        <n v="205"/>
        <n v="213"/>
        <n v="216"/>
        <n v="236"/>
        <n v="238"/>
        <n v="250"/>
        <n v="251"/>
        <n v="302"/>
        <n v="307"/>
        <n v="310"/>
        <n v="316"/>
        <n v="321"/>
        <n v="324"/>
        <n v="326"/>
        <n v="335"/>
        <n v="350"/>
        <n v="355"/>
        <n v="359"/>
        <n v="380"/>
        <n v="394"/>
        <n v="400"/>
        <n v="432"/>
        <n v="442"/>
        <n v="450"/>
        <n v="456"/>
        <n v="483"/>
        <n v="490"/>
        <n v="493"/>
        <n v="497"/>
        <n v="509"/>
        <n v="514"/>
        <n v="522"/>
        <n v="527"/>
        <n v="531"/>
        <n v="534"/>
        <n v="585"/>
        <n v="589"/>
        <n v="644"/>
        <n v="648"/>
        <n v="673"/>
        <n v="681"/>
        <n v="686"/>
        <n v="692"/>
        <n v="704"/>
        <n v="708"/>
        <n v="709"/>
        <n v="719"/>
        <n v="743"/>
        <n v="754"/>
        <n v="756"/>
        <n v="760"/>
        <n v="850"/>
        <n v="858"/>
        <n v="862"/>
        <n v="875"/>
        <n v="878"/>
        <n v="889"/>
        <n v="891"/>
        <n v="903"/>
        <n v="905"/>
        <n v="906"/>
        <n v="923"/>
        <n v="941"/>
        <n v="946"/>
        <n v="971"/>
        <n v="986"/>
        <n v="997"/>
        <n v="1015"/>
        <n v="1022"/>
      </sharedItems>
    </cacheField>
    <cacheField name="Коэф_наценки" numFmtId="0">
      <sharedItems containsSemiMixedTypes="0" containsString="0" containsNumber="1" minValue="0" maxValue="1.15" count="5">
        <n v="0"/>
        <n v="1"/>
        <n v="1.05"/>
        <n v="1.1"/>
        <n v="1.15"/>
      </sharedItems>
    </cacheField>
    <cacheField name="Наименование" numFmtId="0">
      <sharedItems containsMixedTypes="1" containsNumber="1" containsInteger="1" minValue="0" maxValue="0" count="45">
        <n v="0"/>
        <s v="Антенна медный SKU-00011"/>
        <s v="Антенна миниатюрный SKU-00083"/>
        <s v="Антенна оптоволоконный SKU-00215"/>
        <s v="Антенна оптоволоконный SKU-00311"/>
        <s v="Антенна экранированный SKU-00035"/>
        <s v="Антенна экранированный SKU-00419"/>
        <s v="Блок питания медный SKU-00389"/>
        <s v="Блок питания оптоволоконный SKU-00401"/>
        <s v="Блок питания усиленный SKU-00185"/>
        <s v="Датчик влагозащитный SKU-00064"/>
        <s v="Датчик промышленный SKU-00136"/>
        <s v="Датчик промышленный SKU-00328"/>
        <s v="Датчик усиленный SKU-00280"/>
        <s v="Кабель бытовой SKU-00241"/>
        <s v="Кабель влагозащитный SKU-00253"/>
        <s v="Кабель влагозащитный SKU-00445"/>
        <s v="Кабель медный SKU-00001"/>
        <s v="Контроллер влагозащитный SKU-00450"/>
        <s v="Контроллер медный SKU-00102"/>
        <s v="Контроллер миниатюрный SKU-00174"/>
        <s v="Корпус бытовой SKU-00152"/>
        <s v="Корпус бытовой SKU-00248"/>
        <s v="Корпус медный SKU-00008"/>
        <s v="Корпус миниатюрный SKU-00368"/>
        <s v="Корпус промышленный SKU-00140"/>
        <s v="Крепёж медный SKU-00007"/>
        <s v="Крепёж миниатюрный SKU-00079"/>
        <s v="Крепёж миниатюрный SKU-00175"/>
        <s v="Крепёж миниатюрный SKU-00367"/>
        <s v="Крепёж промышленный SKU-00235"/>
        <s v="Крепёж усиленный SKU-00283"/>
        <s v="Модуль влагозащитный SKU-00159"/>
        <s v="Модуль влагозащитный SKU-00255"/>
        <s v="Модуль миниатюрный SKU-00267"/>
        <s v="Модуль оптоволоконный SKU-00303"/>
        <s v="Модуль экранированный SKU-00123"/>
        <s v="Переходник оптоволоконный SKU-00022"/>
        <s v="Разъём промышленный SKU-00326"/>
        <s v="Разъём экранированный SKU-00218"/>
        <s v="Реле бытовой SKU-00060"/>
        <s v="Реле оптоволоконный SKU-00120"/>
        <s v="Реле оптоволоконный SKU-00312"/>
        <s v="Реле промышленный SKU-00336"/>
        <s v="Фильтр бытовой SKU-00441"/>
      </sharedItems>
    </cacheField>
    <cacheField name="Срок_поставки_дней" numFmtId="0">
      <sharedItems containsSemiMixedTypes="0" containsString="0" containsNumber="1" containsInteger="1" minValue="0" maxValue="46" count="31">
        <n v="0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5"/>
        <n v="26"/>
        <n v="27"/>
        <n v="28"/>
        <n v="29"/>
        <n v="30"/>
        <n v="31"/>
        <n v="32"/>
        <n v="33"/>
        <n v="34"/>
        <n v="35"/>
        <n v="36"/>
        <n v="40"/>
        <n v="46"/>
      </sharedItems>
    </cacheField>
    <cacheField name="Стоимость_по_позиции" numFmtId="0">
      <sharedItems containsSemiMixedTypes="0" containsString="0" containsNumber="1" minValue="0" maxValue="80543.4" count="83">
        <n v="0"/>
        <n v="343.2"/>
        <n v="367.5"/>
        <n v="614.6"/>
        <n v="654.885"/>
        <n v="731.6"/>
        <n v="774.69"/>
        <n v="2449.02"/>
        <n v="2651.66"/>
        <n v="2753.1"/>
        <n v="2869"/>
        <n v="2950.605"/>
        <n v="2989.08"/>
        <n v="3072.3"/>
        <n v="4000"/>
        <n v="4689.93"/>
        <n v="5395.4"/>
        <n v="5504.205"/>
        <n v="5684"/>
        <n v="5720.82"/>
        <n v="5740.35"/>
        <n v="6275"/>
        <n v="6295.52"/>
        <n v="6316.2"/>
        <n v="6690.6"/>
        <n v="6911.85"/>
        <n v="9309"/>
        <n v="9799.5"/>
        <n v="9851.625"/>
        <n v="10397.2"/>
        <n v="12584.25"/>
        <n v="15093"/>
        <n v="15750"/>
        <n v="16330"/>
        <n v="17269.2"/>
        <n v="17339.7"/>
        <n v="17696"/>
        <n v="18164.1"/>
        <n v="18165.4"/>
        <n v="18515"/>
        <n v="19698"/>
        <n v="19761"/>
        <n v="20181"/>
        <n v="20470.275"/>
        <n v="20643.21"/>
        <n v="20859.3"/>
        <n v="21984.27"/>
        <n v="23004"/>
        <n v="23430"/>
        <n v="23839.2"/>
        <n v="24391.605"/>
        <n v="24405.99"/>
        <n v="24504.48"/>
        <n v="24878.7"/>
        <n v="25080"/>
        <n v="25585.56"/>
        <n v="26063.4"/>
        <n v="26231.04"/>
        <n v="26419.87"/>
        <n v="26565"/>
        <n v="30863.2"/>
        <n v="30996"/>
        <n v="33409.86"/>
        <n v="35590.8"/>
        <n v="36313.32"/>
        <n v="39670.4"/>
        <n v="43214"/>
        <n v="45704"/>
        <n v="45719.1"/>
        <n v="47722.5"/>
        <n v="48819.435"/>
        <n v="50977.1"/>
        <n v="52064.65"/>
        <n v="55862.4"/>
        <n v="57509.2"/>
        <n v="62186"/>
        <n v="63103.845"/>
        <n v="66162.6"/>
        <n v="67106"/>
        <n v="68098"/>
        <n v="69099"/>
        <n v="79432.5"/>
        <n v="80543.4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4">
  <r>
    <x v="0"/>
    <x v="3"/>
    <x v="8"/>
    <x v="16"/>
    <x v="0"/>
    <x v="0"/>
    <x v="1"/>
    <x v="3"/>
    <x v="0"/>
    <x v="0"/>
    <x v="0"/>
    <x v="0"/>
    <x v="0"/>
  </r>
  <r>
    <x v="0"/>
    <x v="3"/>
    <x v="8"/>
    <x v="16"/>
    <x v="0"/>
    <x v="0"/>
    <x v="1"/>
    <x v="1"/>
    <x v="0"/>
    <x v="0"/>
    <x v="0"/>
    <x v="0"/>
    <x v="0"/>
  </r>
  <r>
    <x v="0"/>
    <x v="3"/>
    <x v="8"/>
    <x v="16"/>
    <x v="0"/>
    <x v="0"/>
    <x v="1"/>
    <x v="2"/>
    <x v="65"/>
    <x v="1"/>
    <x v="27"/>
    <x v="17"/>
    <x v="49"/>
  </r>
  <r>
    <x v="0"/>
    <x v="3"/>
    <x v="8"/>
    <x v="16"/>
    <x v="0"/>
    <x v="0"/>
    <x v="1"/>
    <x v="0"/>
    <x v="68"/>
    <x v="2"/>
    <x v="27"/>
    <x v="17"/>
    <x v="55"/>
  </r>
  <r>
    <x v="0"/>
    <x v="3"/>
    <x v="26"/>
    <x v="38"/>
    <x v="0"/>
    <x v="0"/>
    <x v="1"/>
    <x v="3"/>
    <x v="0"/>
    <x v="0"/>
    <x v="0"/>
    <x v="0"/>
    <x v="0"/>
  </r>
  <r>
    <x v="0"/>
    <x v="3"/>
    <x v="26"/>
    <x v="38"/>
    <x v="0"/>
    <x v="0"/>
    <x v="1"/>
    <x v="1"/>
    <x v="0"/>
    <x v="0"/>
    <x v="0"/>
    <x v="0"/>
    <x v="0"/>
  </r>
  <r>
    <x v="0"/>
    <x v="3"/>
    <x v="26"/>
    <x v="38"/>
    <x v="0"/>
    <x v="0"/>
    <x v="1"/>
    <x v="2"/>
    <x v="58"/>
    <x v="2"/>
    <x v="33"/>
    <x v="15"/>
    <x v="81"/>
  </r>
  <r>
    <x v="0"/>
    <x v="3"/>
    <x v="26"/>
    <x v="38"/>
    <x v="0"/>
    <x v="0"/>
    <x v="1"/>
    <x v="0"/>
    <x v="0"/>
    <x v="0"/>
    <x v="0"/>
    <x v="0"/>
    <x v="0"/>
  </r>
  <r>
    <x v="0"/>
    <x v="3"/>
    <x v="2"/>
    <x v="18"/>
    <x v="0"/>
    <x v="0"/>
    <x v="1"/>
    <x v="3"/>
    <x v="9"/>
    <x v="2"/>
    <x v="23"/>
    <x v="8"/>
    <x v="24"/>
  </r>
  <r>
    <x v="0"/>
    <x v="3"/>
    <x v="2"/>
    <x v="18"/>
    <x v="0"/>
    <x v="0"/>
    <x v="1"/>
    <x v="1"/>
    <x v="8"/>
    <x v="3"/>
    <x v="23"/>
    <x v="12"/>
    <x v="25"/>
  </r>
  <r>
    <x v="0"/>
    <x v="3"/>
    <x v="2"/>
    <x v="18"/>
    <x v="0"/>
    <x v="0"/>
    <x v="1"/>
    <x v="2"/>
    <x v="0"/>
    <x v="0"/>
    <x v="0"/>
    <x v="0"/>
    <x v="0"/>
  </r>
  <r>
    <x v="0"/>
    <x v="3"/>
    <x v="2"/>
    <x v="18"/>
    <x v="0"/>
    <x v="0"/>
    <x v="1"/>
    <x v="0"/>
    <x v="0"/>
    <x v="0"/>
    <x v="0"/>
    <x v="0"/>
    <x v="0"/>
  </r>
  <r>
    <x v="1"/>
    <x v="1"/>
    <x v="16"/>
    <x v="40"/>
    <x v="1"/>
    <x v="3"/>
    <x v="1"/>
    <x v="3"/>
    <x v="0"/>
    <x v="0"/>
    <x v="0"/>
    <x v="0"/>
    <x v="0"/>
  </r>
  <r>
    <x v="1"/>
    <x v="1"/>
    <x v="16"/>
    <x v="40"/>
    <x v="1"/>
    <x v="3"/>
    <x v="1"/>
    <x v="1"/>
    <x v="0"/>
    <x v="0"/>
    <x v="0"/>
    <x v="0"/>
    <x v="0"/>
  </r>
  <r>
    <x v="1"/>
    <x v="1"/>
    <x v="16"/>
    <x v="40"/>
    <x v="1"/>
    <x v="3"/>
    <x v="1"/>
    <x v="2"/>
    <x v="54"/>
    <x v="1"/>
    <x v="32"/>
    <x v="9"/>
    <x v="80"/>
  </r>
  <r>
    <x v="1"/>
    <x v="1"/>
    <x v="16"/>
    <x v="40"/>
    <x v="1"/>
    <x v="3"/>
    <x v="1"/>
    <x v="0"/>
    <x v="0"/>
    <x v="0"/>
    <x v="0"/>
    <x v="0"/>
    <x v="0"/>
  </r>
  <r>
    <x v="1"/>
    <x v="1"/>
    <x v="29"/>
    <x v="5"/>
    <x v="1"/>
    <x v="3"/>
    <x v="1"/>
    <x v="3"/>
    <x v="75"/>
    <x v="3"/>
    <x v="31"/>
    <x v="13"/>
    <x v="22"/>
  </r>
  <r>
    <x v="1"/>
    <x v="1"/>
    <x v="29"/>
    <x v="5"/>
    <x v="1"/>
    <x v="3"/>
    <x v="1"/>
    <x v="1"/>
    <x v="0"/>
    <x v="0"/>
    <x v="0"/>
    <x v="0"/>
    <x v="0"/>
  </r>
  <r>
    <x v="1"/>
    <x v="1"/>
    <x v="29"/>
    <x v="5"/>
    <x v="1"/>
    <x v="3"/>
    <x v="1"/>
    <x v="2"/>
    <x v="74"/>
    <x v="1"/>
    <x v="31"/>
    <x v="14"/>
    <x v="18"/>
  </r>
  <r>
    <x v="1"/>
    <x v="1"/>
    <x v="29"/>
    <x v="5"/>
    <x v="1"/>
    <x v="3"/>
    <x v="1"/>
    <x v="0"/>
    <x v="0"/>
    <x v="0"/>
    <x v="0"/>
    <x v="0"/>
    <x v="0"/>
  </r>
  <r>
    <x v="1"/>
    <x v="1"/>
    <x v="34"/>
    <x v="9"/>
    <x v="1"/>
    <x v="3"/>
    <x v="1"/>
    <x v="3"/>
    <x v="37"/>
    <x v="2"/>
    <x v="12"/>
    <x v="29"/>
    <x v="19"/>
  </r>
  <r>
    <x v="1"/>
    <x v="1"/>
    <x v="34"/>
    <x v="9"/>
    <x v="1"/>
    <x v="3"/>
    <x v="1"/>
    <x v="1"/>
    <x v="0"/>
    <x v="0"/>
    <x v="0"/>
    <x v="0"/>
    <x v="0"/>
  </r>
  <r>
    <x v="1"/>
    <x v="1"/>
    <x v="34"/>
    <x v="9"/>
    <x v="1"/>
    <x v="3"/>
    <x v="1"/>
    <x v="2"/>
    <x v="0"/>
    <x v="0"/>
    <x v="0"/>
    <x v="0"/>
    <x v="0"/>
  </r>
  <r>
    <x v="1"/>
    <x v="1"/>
    <x v="34"/>
    <x v="9"/>
    <x v="1"/>
    <x v="3"/>
    <x v="1"/>
    <x v="0"/>
    <x v="36"/>
    <x v="1"/>
    <x v="12"/>
    <x v="26"/>
    <x v="16"/>
  </r>
  <r>
    <x v="1"/>
    <x v="1"/>
    <x v="18"/>
    <x v="1"/>
    <x v="1"/>
    <x v="3"/>
    <x v="1"/>
    <x v="3"/>
    <x v="0"/>
    <x v="0"/>
    <x v="0"/>
    <x v="0"/>
    <x v="0"/>
  </r>
  <r>
    <x v="1"/>
    <x v="1"/>
    <x v="18"/>
    <x v="1"/>
    <x v="1"/>
    <x v="3"/>
    <x v="1"/>
    <x v="1"/>
    <x v="0"/>
    <x v="0"/>
    <x v="0"/>
    <x v="0"/>
    <x v="0"/>
  </r>
  <r>
    <x v="1"/>
    <x v="1"/>
    <x v="18"/>
    <x v="1"/>
    <x v="1"/>
    <x v="3"/>
    <x v="1"/>
    <x v="2"/>
    <x v="62"/>
    <x v="1"/>
    <x v="28"/>
    <x v="23"/>
    <x v="3"/>
  </r>
  <r>
    <x v="1"/>
    <x v="1"/>
    <x v="18"/>
    <x v="1"/>
    <x v="1"/>
    <x v="3"/>
    <x v="1"/>
    <x v="0"/>
    <x v="64"/>
    <x v="2"/>
    <x v="28"/>
    <x v="20"/>
    <x v="4"/>
  </r>
  <r>
    <x v="1"/>
    <x v="1"/>
    <x v="10"/>
    <x v="11"/>
    <x v="1"/>
    <x v="3"/>
    <x v="1"/>
    <x v="3"/>
    <x v="0"/>
    <x v="0"/>
    <x v="0"/>
    <x v="0"/>
    <x v="0"/>
  </r>
  <r>
    <x v="1"/>
    <x v="1"/>
    <x v="10"/>
    <x v="11"/>
    <x v="1"/>
    <x v="3"/>
    <x v="1"/>
    <x v="1"/>
    <x v="5"/>
    <x v="1"/>
    <x v="19"/>
    <x v="12"/>
    <x v="10"/>
  </r>
  <r>
    <x v="1"/>
    <x v="1"/>
    <x v="10"/>
    <x v="11"/>
    <x v="1"/>
    <x v="3"/>
    <x v="1"/>
    <x v="2"/>
    <x v="0"/>
    <x v="0"/>
    <x v="0"/>
    <x v="0"/>
    <x v="0"/>
  </r>
  <r>
    <x v="1"/>
    <x v="1"/>
    <x v="10"/>
    <x v="11"/>
    <x v="1"/>
    <x v="3"/>
    <x v="1"/>
    <x v="0"/>
    <x v="0"/>
    <x v="0"/>
    <x v="0"/>
    <x v="0"/>
    <x v="0"/>
  </r>
  <r>
    <x v="1"/>
    <x v="1"/>
    <x v="14"/>
    <x v="44"/>
    <x v="1"/>
    <x v="3"/>
    <x v="1"/>
    <x v="3"/>
    <x v="41"/>
    <x v="2"/>
    <x v="25"/>
    <x v="18"/>
    <x v="77"/>
  </r>
  <r>
    <x v="1"/>
    <x v="1"/>
    <x v="14"/>
    <x v="44"/>
    <x v="1"/>
    <x v="3"/>
    <x v="1"/>
    <x v="1"/>
    <x v="0"/>
    <x v="0"/>
    <x v="0"/>
    <x v="0"/>
    <x v="0"/>
  </r>
  <r>
    <x v="1"/>
    <x v="1"/>
    <x v="14"/>
    <x v="44"/>
    <x v="1"/>
    <x v="3"/>
    <x v="1"/>
    <x v="2"/>
    <x v="0"/>
    <x v="0"/>
    <x v="0"/>
    <x v="0"/>
    <x v="0"/>
  </r>
  <r>
    <x v="1"/>
    <x v="1"/>
    <x v="14"/>
    <x v="44"/>
    <x v="1"/>
    <x v="3"/>
    <x v="1"/>
    <x v="0"/>
    <x v="39"/>
    <x v="1"/>
    <x v="25"/>
    <x v="24"/>
    <x v="75"/>
  </r>
  <r>
    <x v="2"/>
    <x v="0"/>
    <x v="39"/>
    <x v="2"/>
    <x v="2"/>
    <x v="4"/>
    <x v="1"/>
    <x v="3"/>
    <x v="10"/>
    <x v="1"/>
    <x v="8"/>
    <x v="11"/>
    <x v="5"/>
  </r>
  <r>
    <x v="2"/>
    <x v="0"/>
    <x v="39"/>
    <x v="2"/>
    <x v="2"/>
    <x v="4"/>
    <x v="1"/>
    <x v="1"/>
    <x v="11"/>
    <x v="2"/>
    <x v="8"/>
    <x v="11"/>
    <x v="6"/>
  </r>
  <r>
    <x v="2"/>
    <x v="0"/>
    <x v="39"/>
    <x v="2"/>
    <x v="2"/>
    <x v="4"/>
    <x v="1"/>
    <x v="2"/>
    <x v="0"/>
    <x v="0"/>
    <x v="0"/>
    <x v="0"/>
    <x v="0"/>
  </r>
  <r>
    <x v="2"/>
    <x v="0"/>
    <x v="39"/>
    <x v="2"/>
    <x v="2"/>
    <x v="4"/>
    <x v="1"/>
    <x v="0"/>
    <x v="0"/>
    <x v="0"/>
    <x v="0"/>
    <x v="0"/>
    <x v="0"/>
  </r>
  <r>
    <x v="2"/>
    <x v="0"/>
    <x v="31"/>
    <x v="29"/>
    <x v="2"/>
    <x v="4"/>
    <x v="1"/>
    <x v="3"/>
    <x v="15"/>
    <x v="3"/>
    <x v="4"/>
    <x v="11"/>
    <x v="46"/>
  </r>
  <r>
    <x v="2"/>
    <x v="0"/>
    <x v="31"/>
    <x v="29"/>
    <x v="2"/>
    <x v="4"/>
    <x v="1"/>
    <x v="1"/>
    <x v="20"/>
    <x v="4"/>
    <x v="4"/>
    <x v="11"/>
    <x v="51"/>
  </r>
  <r>
    <x v="2"/>
    <x v="0"/>
    <x v="31"/>
    <x v="29"/>
    <x v="2"/>
    <x v="4"/>
    <x v="1"/>
    <x v="2"/>
    <x v="16"/>
    <x v="1"/>
    <x v="4"/>
    <x v="11"/>
    <x v="42"/>
  </r>
  <r>
    <x v="2"/>
    <x v="0"/>
    <x v="31"/>
    <x v="29"/>
    <x v="2"/>
    <x v="4"/>
    <x v="1"/>
    <x v="0"/>
    <x v="14"/>
    <x v="2"/>
    <x v="4"/>
    <x v="11"/>
    <x v="44"/>
  </r>
  <r>
    <x v="2"/>
    <x v="0"/>
    <x v="11"/>
    <x v="26"/>
    <x v="2"/>
    <x v="4"/>
    <x v="1"/>
    <x v="3"/>
    <x v="0"/>
    <x v="0"/>
    <x v="0"/>
    <x v="0"/>
    <x v="0"/>
  </r>
  <r>
    <x v="2"/>
    <x v="0"/>
    <x v="11"/>
    <x v="26"/>
    <x v="2"/>
    <x v="4"/>
    <x v="1"/>
    <x v="1"/>
    <x v="0"/>
    <x v="0"/>
    <x v="0"/>
    <x v="0"/>
    <x v="0"/>
  </r>
  <r>
    <x v="2"/>
    <x v="0"/>
    <x v="11"/>
    <x v="26"/>
    <x v="2"/>
    <x v="4"/>
    <x v="1"/>
    <x v="2"/>
    <x v="0"/>
    <x v="0"/>
    <x v="0"/>
    <x v="0"/>
    <x v="0"/>
  </r>
  <r>
    <x v="2"/>
    <x v="0"/>
    <x v="11"/>
    <x v="26"/>
    <x v="2"/>
    <x v="4"/>
    <x v="1"/>
    <x v="0"/>
    <x v="19"/>
    <x v="1"/>
    <x v="41"/>
    <x v="28"/>
    <x v="34"/>
  </r>
  <r>
    <x v="2"/>
    <x v="0"/>
    <x v="17"/>
    <x v="37"/>
    <x v="2"/>
    <x v="4"/>
    <x v="1"/>
    <x v="3"/>
    <x v="0"/>
    <x v="0"/>
    <x v="0"/>
    <x v="0"/>
    <x v="0"/>
  </r>
  <r>
    <x v="2"/>
    <x v="0"/>
    <x v="17"/>
    <x v="37"/>
    <x v="2"/>
    <x v="4"/>
    <x v="1"/>
    <x v="1"/>
    <x v="67"/>
    <x v="1"/>
    <x v="20"/>
    <x v="22"/>
    <x v="82"/>
  </r>
  <r>
    <x v="2"/>
    <x v="0"/>
    <x v="17"/>
    <x v="37"/>
    <x v="2"/>
    <x v="4"/>
    <x v="1"/>
    <x v="2"/>
    <x v="0"/>
    <x v="0"/>
    <x v="0"/>
    <x v="0"/>
    <x v="0"/>
  </r>
  <r>
    <x v="2"/>
    <x v="0"/>
    <x v="17"/>
    <x v="37"/>
    <x v="2"/>
    <x v="4"/>
    <x v="1"/>
    <x v="0"/>
    <x v="0"/>
    <x v="0"/>
    <x v="0"/>
    <x v="0"/>
    <x v="0"/>
  </r>
  <r>
    <x v="3"/>
    <x v="4"/>
    <x v="33"/>
    <x v="6"/>
    <x v="3"/>
    <x v="1"/>
    <x v="0"/>
    <x v="3"/>
    <x v="31"/>
    <x v="4"/>
    <x v="38"/>
    <x v="24"/>
    <x v="12"/>
  </r>
  <r>
    <x v="3"/>
    <x v="4"/>
    <x v="33"/>
    <x v="6"/>
    <x v="3"/>
    <x v="1"/>
    <x v="0"/>
    <x v="1"/>
    <x v="32"/>
    <x v="1"/>
    <x v="38"/>
    <x v="24"/>
    <x v="9"/>
  </r>
  <r>
    <x v="3"/>
    <x v="4"/>
    <x v="33"/>
    <x v="6"/>
    <x v="3"/>
    <x v="1"/>
    <x v="0"/>
    <x v="2"/>
    <x v="34"/>
    <x v="2"/>
    <x v="38"/>
    <x v="24"/>
    <x v="11"/>
  </r>
  <r>
    <x v="3"/>
    <x v="4"/>
    <x v="33"/>
    <x v="6"/>
    <x v="3"/>
    <x v="1"/>
    <x v="0"/>
    <x v="0"/>
    <x v="33"/>
    <x v="3"/>
    <x v="38"/>
    <x v="24"/>
    <x v="13"/>
  </r>
  <r>
    <x v="3"/>
    <x v="4"/>
    <x v="38"/>
    <x v="35"/>
    <x v="3"/>
    <x v="1"/>
    <x v="0"/>
    <x v="3"/>
    <x v="0"/>
    <x v="0"/>
    <x v="0"/>
    <x v="0"/>
    <x v="0"/>
  </r>
  <r>
    <x v="3"/>
    <x v="4"/>
    <x v="38"/>
    <x v="35"/>
    <x v="3"/>
    <x v="1"/>
    <x v="0"/>
    <x v="1"/>
    <x v="4"/>
    <x v="2"/>
    <x v="7"/>
    <x v="27"/>
    <x v="30"/>
  </r>
  <r>
    <x v="3"/>
    <x v="4"/>
    <x v="38"/>
    <x v="35"/>
    <x v="3"/>
    <x v="1"/>
    <x v="0"/>
    <x v="2"/>
    <x v="0"/>
    <x v="0"/>
    <x v="0"/>
    <x v="0"/>
    <x v="0"/>
  </r>
  <r>
    <x v="3"/>
    <x v="4"/>
    <x v="38"/>
    <x v="35"/>
    <x v="3"/>
    <x v="1"/>
    <x v="0"/>
    <x v="0"/>
    <x v="0"/>
    <x v="0"/>
    <x v="0"/>
    <x v="0"/>
    <x v="0"/>
  </r>
  <r>
    <x v="3"/>
    <x v="4"/>
    <x v="1"/>
    <x v="41"/>
    <x v="3"/>
    <x v="1"/>
    <x v="0"/>
    <x v="3"/>
    <x v="0"/>
    <x v="0"/>
    <x v="0"/>
    <x v="0"/>
    <x v="0"/>
  </r>
  <r>
    <x v="3"/>
    <x v="4"/>
    <x v="1"/>
    <x v="41"/>
    <x v="3"/>
    <x v="1"/>
    <x v="0"/>
    <x v="1"/>
    <x v="0"/>
    <x v="0"/>
    <x v="0"/>
    <x v="0"/>
    <x v="0"/>
  </r>
  <r>
    <x v="3"/>
    <x v="4"/>
    <x v="1"/>
    <x v="41"/>
    <x v="3"/>
    <x v="1"/>
    <x v="0"/>
    <x v="2"/>
    <x v="6"/>
    <x v="1"/>
    <x v="26"/>
    <x v="7"/>
    <x v="37"/>
  </r>
  <r>
    <x v="3"/>
    <x v="4"/>
    <x v="1"/>
    <x v="41"/>
    <x v="3"/>
    <x v="1"/>
    <x v="0"/>
    <x v="0"/>
    <x v="7"/>
    <x v="2"/>
    <x v="26"/>
    <x v="7"/>
    <x v="43"/>
  </r>
  <r>
    <x v="4"/>
    <x v="3"/>
    <x v="0"/>
    <x v="32"/>
    <x v="4"/>
    <x v="2"/>
    <x v="1"/>
    <x v="3"/>
    <x v="3"/>
    <x v="1"/>
    <x v="17"/>
    <x v="1"/>
    <x v="27"/>
  </r>
  <r>
    <x v="4"/>
    <x v="3"/>
    <x v="0"/>
    <x v="32"/>
    <x v="4"/>
    <x v="2"/>
    <x v="1"/>
    <x v="1"/>
    <x v="1"/>
    <x v="2"/>
    <x v="17"/>
    <x v="1"/>
    <x v="28"/>
  </r>
  <r>
    <x v="4"/>
    <x v="3"/>
    <x v="0"/>
    <x v="32"/>
    <x v="4"/>
    <x v="2"/>
    <x v="1"/>
    <x v="2"/>
    <x v="2"/>
    <x v="3"/>
    <x v="17"/>
    <x v="1"/>
    <x v="29"/>
  </r>
  <r>
    <x v="4"/>
    <x v="3"/>
    <x v="0"/>
    <x v="32"/>
    <x v="4"/>
    <x v="2"/>
    <x v="1"/>
    <x v="0"/>
    <x v="0"/>
    <x v="0"/>
    <x v="0"/>
    <x v="0"/>
    <x v="0"/>
  </r>
  <r>
    <x v="4"/>
    <x v="3"/>
    <x v="42"/>
    <x v="21"/>
    <x v="4"/>
    <x v="2"/>
    <x v="1"/>
    <x v="3"/>
    <x v="49"/>
    <x v="1"/>
    <x v="16"/>
    <x v="23"/>
    <x v="60"/>
  </r>
  <r>
    <x v="4"/>
    <x v="3"/>
    <x v="42"/>
    <x v="21"/>
    <x v="4"/>
    <x v="2"/>
    <x v="1"/>
    <x v="1"/>
    <x v="57"/>
    <x v="2"/>
    <x v="16"/>
    <x v="17"/>
    <x v="63"/>
  </r>
  <r>
    <x v="4"/>
    <x v="3"/>
    <x v="42"/>
    <x v="21"/>
    <x v="4"/>
    <x v="2"/>
    <x v="1"/>
    <x v="2"/>
    <x v="47"/>
    <x v="3"/>
    <x v="16"/>
    <x v="23"/>
    <x v="62"/>
  </r>
  <r>
    <x v="4"/>
    <x v="3"/>
    <x v="42"/>
    <x v="21"/>
    <x v="4"/>
    <x v="2"/>
    <x v="1"/>
    <x v="0"/>
    <x v="51"/>
    <x v="4"/>
    <x v="16"/>
    <x v="30"/>
    <x v="64"/>
  </r>
  <r>
    <x v="4"/>
    <x v="3"/>
    <x v="40"/>
    <x v="25"/>
    <x v="4"/>
    <x v="2"/>
    <x v="1"/>
    <x v="3"/>
    <x v="0"/>
    <x v="0"/>
    <x v="0"/>
    <x v="0"/>
    <x v="0"/>
  </r>
  <r>
    <x v="4"/>
    <x v="3"/>
    <x v="40"/>
    <x v="25"/>
    <x v="4"/>
    <x v="2"/>
    <x v="1"/>
    <x v="1"/>
    <x v="28"/>
    <x v="4"/>
    <x v="6"/>
    <x v="22"/>
    <x v="57"/>
  </r>
  <r>
    <x v="4"/>
    <x v="3"/>
    <x v="40"/>
    <x v="25"/>
    <x v="4"/>
    <x v="2"/>
    <x v="1"/>
    <x v="2"/>
    <x v="0"/>
    <x v="0"/>
    <x v="0"/>
    <x v="0"/>
    <x v="0"/>
  </r>
  <r>
    <x v="4"/>
    <x v="3"/>
    <x v="40"/>
    <x v="25"/>
    <x v="4"/>
    <x v="2"/>
    <x v="1"/>
    <x v="0"/>
    <x v="29"/>
    <x v="2"/>
    <x v="6"/>
    <x v="27"/>
    <x v="52"/>
  </r>
  <r>
    <x v="4"/>
    <x v="3"/>
    <x v="19"/>
    <x v="13"/>
    <x v="4"/>
    <x v="2"/>
    <x v="1"/>
    <x v="3"/>
    <x v="0"/>
    <x v="0"/>
    <x v="0"/>
    <x v="0"/>
    <x v="0"/>
  </r>
  <r>
    <x v="4"/>
    <x v="3"/>
    <x v="19"/>
    <x v="13"/>
    <x v="4"/>
    <x v="2"/>
    <x v="1"/>
    <x v="1"/>
    <x v="73"/>
    <x v="2"/>
    <x v="9"/>
    <x v="6"/>
    <x v="50"/>
  </r>
  <r>
    <x v="4"/>
    <x v="3"/>
    <x v="19"/>
    <x v="13"/>
    <x v="4"/>
    <x v="2"/>
    <x v="1"/>
    <x v="2"/>
    <x v="0"/>
    <x v="0"/>
    <x v="0"/>
    <x v="0"/>
    <x v="0"/>
  </r>
  <r>
    <x v="4"/>
    <x v="3"/>
    <x v="19"/>
    <x v="13"/>
    <x v="4"/>
    <x v="2"/>
    <x v="1"/>
    <x v="0"/>
    <x v="72"/>
    <x v="4"/>
    <x v="9"/>
    <x v="11"/>
    <x v="58"/>
  </r>
  <r>
    <x v="4"/>
    <x v="3"/>
    <x v="13"/>
    <x v="10"/>
    <x v="4"/>
    <x v="2"/>
    <x v="1"/>
    <x v="3"/>
    <x v="35"/>
    <x v="2"/>
    <x v="11"/>
    <x v="16"/>
    <x v="20"/>
  </r>
  <r>
    <x v="4"/>
    <x v="3"/>
    <x v="13"/>
    <x v="10"/>
    <x v="4"/>
    <x v="2"/>
    <x v="1"/>
    <x v="1"/>
    <x v="38"/>
    <x v="3"/>
    <x v="11"/>
    <x v="22"/>
    <x v="23"/>
  </r>
  <r>
    <x v="4"/>
    <x v="3"/>
    <x v="13"/>
    <x v="10"/>
    <x v="4"/>
    <x v="2"/>
    <x v="1"/>
    <x v="2"/>
    <x v="0"/>
    <x v="0"/>
    <x v="0"/>
    <x v="0"/>
    <x v="0"/>
  </r>
  <r>
    <x v="4"/>
    <x v="3"/>
    <x v="13"/>
    <x v="10"/>
    <x v="4"/>
    <x v="2"/>
    <x v="1"/>
    <x v="0"/>
    <x v="0"/>
    <x v="0"/>
    <x v="0"/>
    <x v="0"/>
    <x v="0"/>
  </r>
  <r>
    <x v="4"/>
    <x v="3"/>
    <x v="6"/>
    <x v="33"/>
    <x v="4"/>
    <x v="2"/>
    <x v="1"/>
    <x v="3"/>
    <x v="0"/>
    <x v="0"/>
    <x v="0"/>
    <x v="0"/>
    <x v="0"/>
  </r>
  <r>
    <x v="4"/>
    <x v="3"/>
    <x v="6"/>
    <x v="33"/>
    <x v="4"/>
    <x v="2"/>
    <x v="1"/>
    <x v="1"/>
    <x v="0"/>
    <x v="0"/>
    <x v="0"/>
    <x v="0"/>
    <x v="0"/>
  </r>
  <r>
    <x v="4"/>
    <x v="3"/>
    <x v="6"/>
    <x v="33"/>
    <x v="4"/>
    <x v="2"/>
    <x v="1"/>
    <x v="2"/>
    <x v="0"/>
    <x v="0"/>
    <x v="0"/>
    <x v="0"/>
    <x v="0"/>
  </r>
  <r>
    <x v="4"/>
    <x v="3"/>
    <x v="6"/>
    <x v="33"/>
    <x v="4"/>
    <x v="2"/>
    <x v="1"/>
    <x v="0"/>
    <x v="53"/>
    <x v="1"/>
    <x v="40"/>
    <x v="28"/>
    <x v="71"/>
  </r>
  <r>
    <x v="5"/>
    <x v="4"/>
    <x v="21"/>
    <x v="22"/>
    <x v="5"/>
    <x v="0"/>
    <x v="1"/>
    <x v="3"/>
    <x v="22"/>
    <x v="4"/>
    <x v="39"/>
    <x v="8"/>
    <x v="39"/>
  </r>
  <r>
    <x v="5"/>
    <x v="4"/>
    <x v="21"/>
    <x v="22"/>
    <x v="5"/>
    <x v="0"/>
    <x v="1"/>
    <x v="1"/>
    <x v="23"/>
    <x v="1"/>
    <x v="39"/>
    <x v="8"/>
    <x v="33"/>
  </r>
  <r>
    <x v="5"/>
    <x v="4"/>
    <x v="21"/>
    <x v="22"/>
    <x v="5"/>
    <x v="0"/>
    <x v="1"/>
    <x v="2"/>
    <x v="24"/>
    <x v="2"/>
    <x v="39"/>
    <x v="8"/>
    <x v="35"/>
  </r>
  <r>
    <x v="5"/>
    <x v="4"/>
    <x v="21"/>
    <x v="22"/>
    <x v="5"/>
    <x v="0"/>
    <x v="1"/>
    <x v="0"/>
    <x v="24"/>
    <x v="3"/>
    <x v="39"/>
    <x v="8"/>
    <x v="38"/>
  </r>
  <r>
    <x v="5"/>
    <x v="4"/>
    <x v="15"/>
    <x v="23"/>
    <x v="5"/>
    <x v="0"/>
    <x v="1"/>
    <x v="3"/>
    <x v="0"/>
    <x v="0"/>
    <x v="0"/>
    <x v="0"/>
    <x v="0"/>
  </r>
  <r>
    <x v="5"/>
    <x v="4"/>
    <x v="15"/>
    <x v="23"/>
    <x v="5"/>
    <x v="0"/>
    <x v="1"/>
    <x v="1"/>
    <x v="0"/>
    <x v="0"/>
    <x v="0"/>
    <x v="0"/>
    <x v="0"/>
  </r>
  <r>
    <x v="5"/>
    <x v="4"/>
    <x v="15"/>
    <x v="23"/>
    <x v="5"/>
    <x v="0"/>
    <x v="1"/>
    <x v="2"/>
    <x v="50"/>
    <x v="4"/>
    <x v="21"/>
    <x v="2"/>
    <x v="65"/>
  </r>
  <r>
    <x v="5"/>
    <x v="4"/>
    <x v="15"/>
    <x v="23"/>
    <x v="5"/>
    <x v="0"/>
    <x v="1"/>
    <x v="0"/>
    <x v="0"/>
    <x v="0"/>
    <x v="0"/>
    <x v="0"/>
    <x v="0"/>
  </r>
  <r>
    <x v="6"/>
    <x v="1"/>
    <x v="27"/>
    <x v="34"/>
    <x v="6"/>
    <x v="3"/>
    <x v="1"/>
    <x v="3"/>
    <x v="0"/>
    <x v="0"/>
    <x v="0"/>
    <x v="0"/>
    <x v="0"/>
  </r>
  <r>
    <x v="6"/>
    <x v="1"/>
    <x v="27"/>
    <x v="34"/>
    <x v="6"/>
    <x v="3"/>
    <x v="1"/>
    <x v="1"/>
    <x v="0"/>
    <x v="0"/>
    <x v="0"/>
    <x v="0"/>
    <x v="0"/>
  </r>
  <r>
    <x v="6"/>
    <x v="1"/>
    <x v="27"/>
    <x v="34"/>
    <x v="6"/>
    <x v="3"/>
    <x v="1"/>
    <x v="2"/>
    <x v="60"/>
    <x v="1"/>
    <x v="34"/>
    <x v="25"/>
    <x v="79"/>
  </r>
  <r>
    <x v="6"/>
    <x v="1"/>
    <x v="27"/>
    <x v="34"/>
    <x v="6"/>
    <x v="3"/>
    <x v="1"/>
    <x v="0"/>
    <x v="0"/>
    <x v="0"/>
    <x v="0"/>
    <x v="0"/>
    <x v="0"/>
  </r>
  <r>
    <x v="6"/>
    <x v="1"/>
    <x v="25"/>
    <x v="3"/>
    <x v="6"/>
    <x v="3"/>
    <x v="1"/>
    <x v="3"/>
    <x v="0"/>
    <x v="0"/>
    <x v="0"/>
    <x v="0"/>
    <x v="0"/>
  </r>
  <r>
    <x v="6"/>
    <x v="1"/>
    <x v="25"/>
    <x v="3"/>
    <x v="6"/>
    <x v="3"/>
    <x v="1"/>
    <x v="1"/>
    <x v="48"/>
    <x v="2"/>
    <x v="15"/>
    <x v="13"/>
    <x v="7"/>
  </r>
  <r>
    <x v="6"/>
    <x v="1"/>
    <x v="25"/>
    <x v="3"/>
    <x v="6"/>
    <x v="3"/>
    <x v="1"/>
    <x v="2"/>
    <x v="52"/>
    <x v="3"/>
    <x v="15"/>
    <x v="14"/>
    <x v="8"/>
  </r>
  <r>
    <x v="6"/>
    <x v="1"/>
    <x v="25"/>
    <x v="3"/>
    <x v="6"/>
    <x v="3"/>
    <x v="1"/>
    <x v="0"/>
    <x v="0"/>
    <x v="0"/>
    <x v="0"/>
    <x v="0"/>
    <x v="0"/>
  </r>
  <r>
    <x v="6"/>
    <x v="1"/>
    <x v="32"/>
    <x v="17"/>
    <x v="6"/>
    <x v="3"/>
    <x v="1"/>
    <x v="3"/>
    <x v="0"/>
    <x v="0"/>
    <x v="0"/>
    <x v="0"/>
    <x v="0"/>
  </r>
  <r>
    <x v="6"/>
    <x v="1"/>
    <x v="32"/>
    <x v="17"/>
    <x v="6"/>
    <x v="3"/>
    <x v="1"/>
    <x v="1"/>
    <x v="0"/>
    <x v="0"/>
    <x v="0"/>
    <x v="0"/>
    <x v="0"/>
  </r>
  <r>
    <x v="6"/>
    <x v="1"/>
    <x v="32"/>
    <x v="17"/>
    <x v="6"/>
    <x v="3"/>
    <x v="1"/>
    <x v="2"/>
    <x v="0"/>
    <x v="0"/>
    <x v="0"/>
    <x v="0"/>
    <x v="0"/>
  </r>
  <r>
    <x v="6"/>
    <x v="1"/>
    <x v="32"/>
    <x v="17"/>
    <x v="6"/>
    <x v="3"/>
    <x v="1"/>
    <x v="0"/>
    <x v="18"/>
    <x v="1"/>
    <x v="42"/>
    <x v="12"/>
    <x v="26"/>
  </r>
  <r>
    <x v="6"/>
    <x v="1"/>
    <x v="41"/>
    <x v="19"/>
    <x v="6"/>
    <x v="3"/>
    <x v="1"/>
    <x v="3"/>
    <x v="45"/>
    <x v="1"/>
    <x v="44"/>
    <x v="19"/>
    <x v="47"/>
  </r>
  <r>
    <x v="6"/>
    <x v="1"/>
    <x v="41"/>
    <x v="19"/>
    <x v="6"/>
    <x v="3"/>
    <x v="1"/>
    <x v="1"/>
    <x v="0"/>
    <x v="0"/>
    <x v="0"/>
    <x v="0"/>
    <x v="0"/>
  </r>
  <r>
    <x v="6"/>
    <x v="1"/>
    <x v="41"/>
    <x v="19"/>
    <x v="6"/>
    <x v="3"/>
    <x v="1"/>
    <x v="2"/>
    <x v="0"/>
    <x v="0"/>
    <x v="0"/>
    <x v="0"/>
    <x v="0"/>
  </r>
  <r>
    <x v="6"/>
    <x v="1"/>
    <x v="41"/>
    <x v="19"/>
    <x v="6"/>
    <x v="3"/>
    <x v="1"/>
    <x v="0"/>
    <x v="0"/>
    <x v="0"/>
    <x v="0"/>
    <x v="0"/>
    <x v="0"/>
  </r>
  <r>
    <x v="7"/>
    <x v="3"/>
    <x v="36"/>
    <x v="0"/>
    <x v="7"/>
    <x v="4"/>
    <x v="0"/>
    <x v="3"/>
    <x v="0"/>
    <x v="0"/>
    <x v="0"/>
    <x v="0"/>
    <x v="0"/>
  </r>
  <r>
    <x v="7"/>
    <x v="3"/>
    <x v="36"/>
    <x v="0"/>
    <x v="7"/>
    <x v="4"/>
    <x v="0"/>
    <x v="1"/>
    <x v="0"/>
    <x v="0"/>
    <x v="0"/>
    <x v="0"/>
    <x v="0"/>
  </r>
  <r>
    <x v="7"/>
    <x v="3"/>
    <x v="36"/>
    <x v="0"/>
    <x v="7"/>
    <x v="4"/>
    <x v="0"/>
    <x v="2"/>
    <x v="59"/>
    <x v="1"/>
    <x v="29"/>
    <x v="7"/>
    <x v="1"/>
  </r>
  <r>
    <x v="7"/>
    <x v="3"/>
    <x v="36"/>
    <x v="0"/>
    <x v="7"/>
    <x v="4"/>
    <x v="0"/>
    <x v="0"/>
    <x v="61"/>
    <x v="2"/>
    <x v="29"/>
    <x v="7"/>
    <x v="2"/>
  </r>
  <r>
    <x v="7"/>
    <x v="3"/>
    <x v="12"/>
    <x v="43"/>
    <x v="7"/>
    <x v="4"/>
    <x v="0"/>
    <x v="3"/>
    <x v="0"/>
    <x v="0"/>
    <x v="0"/>
    <x v="0"/>
    <x v="0"/>
  </r>
  <r>
    <x v="7"/>
    <x v="3"/>
    <x v="12"/>
    <x v="43"/>
    <x v="7"/>
    <x v="4"/>
    <x v="0"/>
    <x v="1"/>
    <x v="0"/>
    <x v="0"/>
    <x v="0"/>
    <x v="0"/>
    <x v="0"/>
  </r>
  <r>
    <x v="7"/>
    <x v="3"/>
    <x v="12"/>
    <x v="43"/>
    <x v="7"/>
    <x v="4"/>
    <x v="0"/>
    <x v="2"/>
    <x v="26"/>
    <x v="1"/>
    <x v="36"/>
    <x v="3"/>
    <x v="67"/>
  </r>
  <r>
    <x v="7"/>
    <x v="3"/>
    <x v="12"/>
    <x v="43"/>
    <x v="7"/>
    <x v="4"/>
    <x v="0"/>
    <x v="0"/>
    <x v="0"/>
    <x v="0"/>
    <x v="0"/>
    <x v="0"/>
    <x v="0"/>
  </r>
  <r>
    <x v="7"/>
    <x v="3"/>
    <x v="24"/>
    <x v="39"/>
    <x v="7"/>
    <x v="4"/>
    <x v="0"/>
    <x v="3"/>
    <x v="46"/>
    <x v="2"/>
    <x v="22"/>
    <x v="9"/>
    <x v="76"/>
  </r>
  <r>
    <x v="7"/>
    <x v="3"/>
    <x v="24"/>
    <x v="39"/>
    <x v="7"/>
    <x v="4"/>
    <x v="0"/>
    <x v="1"/>
    <x v="0"/>
    <x v="0"/>
    <x v="0"/>
    <x v="0"/>
    <x v="0"/>
  </r>
  <r>
    <x v="7"/>
    <x v="3"/>
    <x v="24"/>
    <x v="39"/>
    <x v="7"/>
    <x v="4"/>
    <x v="0"/>
    <x v="2"/>
    <x v="0"/>
    <x v="0"/>
    <x v="0"/>
    <x v="0"/>
    <x v="0"/>
  </r>
  <r>
    <x v="7"/>
    <x v="3"/>
    <x v="24"/>
    <x v="39"/>
    <x v="7"/>
    <x v="4"/>
    <x v="0"/>
    <x v="0"/>
    <x v="44"/>
    <x v="1"/>
    <x v="22"/>
    <x v="8"/>
    <x v="74"/>
  </r>
  <r>
    <x v="7"/>
    <x v="3"/>
    <x v="20"/>
    <x v="27"/>
    <x v="7"/>
    <x v="4"/>
    <x v="0"/>
    <x v="3"/>
    <x v="0"/>
    <x v="0"/>
    <x v="0"/>
    <x v="0"/>
    <x v="0"/>
  </r>
  <r>
    <x v="7"/>
    <x v="3"/>
    <x v="20"/>
    <x v="27"/>
    <x v="7"/>
    <x v="4"/>
    <x v="0"/>
    <x v="1"/>
    <x v="0"/>
    <x v="0"/>
    <x v="0"/>
    <x v="0"/>
    <x v="0"/>
  </r>
  <r>
    <x v="7"/>
    <x v="3"/>
    <x v="20"/>
    <x v="27"/>
    <x v="7"/>
    <x v="4"/>
    <x v="0"/>
    <x v="2"/>
    <x v="17"/>
    <x v="1"/>
    <x v="3"/>
    <x v="5"/>
    <x v="36"/>
  </r>
  <r>
    <x v="7"/>
    <x v="3"/>
    <x v="20"/>
    <x v="27"/>
    <x v="7"/>
    <x v="4"/>
    <x v="0"/>
    <x v="0"/>
    <x v="21"/>
    <x v="2"/>
    <x v="3"/>
    <x v="7"/>
    <x v="40"/>
  </r>
  <r>
    <x v="7"/>
    <x v="3"/>
    <x v="43"/>
    <x v="38"/>
    <x v="7"/>
    <x v="4"/>
    <x v="0"/>
    <x v="3"/>
    <x v="0"/>
    <x v="0"/>
    <x v="0"/>
    <x v="0"/>
    <x v="0"/>
  </r>
  <r>
    <x v="7"/>
    <x v="3"/>
    <x v="43"/>
    <x v="38"/>
    <x v="7"/>
    <x v="4"/>
    <x v="0"/>
    <x v="1"/>
    <x v="55"/>
    <x v="1"/>
    <x v="18"/>
    <x v="28"/>
    <x v="78"/>
  </r>
  <r>
    <x v="7"/>
    <x v="3"/>
    <x v="43"/>
    <x v="38"/>
    <x v="7"/>
    <x v="4"/>
    <x v="0"/>
    <x v="2"/>
    <x v="0"/>
    <x v="0"/>
    <x v="0"/>
    <x v="0"/>
    <x v="0"/>
  </r>
  <r>
    <x v="7"/>
    <x v="3"/>
    <x v="43"/>
    <x v="38"/>
    <x v="7"/>
    <x v="4"/>
    <x v="0"/>
    <x v="0"/>
    <x v="0"/>
    <x v="0"/>
    <x v="0"/>
    <x v="0"/>
    <x v="0"/>
  </r>
  <r>
    <x v="8"/>
    <x v="4"/>
    <x v="21"/>
    <x v="30"/>
    <x v="8"/>
    <x v="1"/>
    <x v="1"/>
    <x v="3"/>
    <x v="22"/>
    <x v="4"/>
    <x v="39"/>
    <x v="8"/>
    <x v="59"/>
  </r>
  <r>
    <x v="8"/>
    <x v="4"/>
    <x v="21"/>
    <x v="30"/>
    <x v="8"/>
    <x v="1"/>
    <x v="1"/>
    <x v="1"/>
    <x v="23"/>
    <x v="1"/>
    <x v="39"/>
    <x v="8"/>
    <x v="48"/>
  </r>
  <r>
    <x v="8"/>
    <x v="4"/>
    <x v="21"/>
    <x v="30"/>
    <x v="8"/>
    <x v="1"/>
    <x v="1"/>
    <x v="2"/>
    <x v="24"/>
    <x v="2"/>
    <x v="39"/>
    <x v="8"/>
    <x v="53"/>
  </r>
  <r>
    <x v="8"/>
    <x v="4"/>
    <x v="21"/>
    <x v="30"/>
    <x v="8"/>
    <x v="1"/>
    <x v="1"/>
    <x v="0"/>
    <x v="24"/>
    <x v="3"/>
    <x v="39"/>
    <x v="8"/>
    <x v="56"/>
  </r>
  <r>
    <x v="8"/>
    <x v="4"/>
    <x v="15"/>
    <x v="31"/>
    <x v="8"/>
    <x v="1"/>
    <x v="1"/>
    <x v="3"/>
    <x v="0"/>
    <x v="0"/>
    <x v="0"/>
    <x v="0"/>
    <x v="0"/>
  </r>
  <r>
    <x v="8"/>
    <x v="4"/>
    <x v="15"/>
    <x v="31"/>
    <x v="8"/>
    <x v="1"/>
    <x v="1"/>
    <x v="1"/>
    <x v="0"/>
    <x v="0"/>
    <x v="0"/>
    <x v="0"/>
    <x v="0"/>
  </r>
  <r>
    <x v="8"/>
    <x v="4"/>
    <x v="15"/>
    <x v="31"/>
    <x v="8"/>
    <x v="1"/>
    <x v="1"/>
    <x v="2"/>
    <x v="50"/>
    <x v="4"/>
    <x v="21"/>
    <x v="2"/>
    <x v="73"/>
  </r>
  <r>
    <x v="8"/>
    <x v="4"/>
    <x v="15"/>
    <x v="31"/>
    <x v="8"/>
    <x v="1"/>
    <x v="1"/>
    <x v="0"/>
    <x v="0"/>
    <x v="0"/>
    <x v="0"/>
    <x v="0"/>
    <x v="0"/>
  </r>
  <r>
    <x v="8"/>
    <x v="4"/>
    <x v="3"/>
    <x v="28"/>
    <x v="8"/>
    <x v="1"/>
    <x v="1"/>
    <x v="3"/>
    <x v="25"/>
    <x v="3"/>
    <x v="1"/>
    <x v="13"/>
    <x v="54"/>
  </r>
  <r>
    <x v="8"/>
    <x v="4"/>
    <x v="3"/>
    <x v="28"/>
    <x v="8"/>
    <x v="1"/>
    <x v="1"/>
    <x v="1"/>
    <x v="0"/>
    <x v="0"/>
    <x v="0"/>
    <x v="0"/>
    <x v="0"/>
  </r>
  <r>
    <x v="8"/>
    <x v="4"/>
    <x v="3"/>
    <x v="28"/>
    <x v="8"/>
    <x v="1"/>
    <x v="1"/>
    <x v="2"/>
    <x v="0"/>
    <x v="0"/>
    <x v="0"/>
    <x v="0"/>
    <x v="0"/>
  </r>
  <r>
    <x v="8"/>
    <x v="4"/>
    <x v="3"/>
    <x v="28"/>
    <x v="8"/>
    <x v="1"/>
    <x v="1"/>
    <x v="0"/>
    <x v="12"/>
    <x v="2"/>
    <x v="1"/>
    <x v="11"/>
    <x v="32"/>
  </r>
  <r>
    <x v="8"/>
    <x v="4"/>
    <x v="28"/>
    <x v="4"/>
    <x v="8"/>
    <x v="1"/>
    <x v="1"/>
    <x v="3"/>
    <x v="71"/>
    <x v="2"/>
    <x v="13"/>
    <x v="10"/>
    <x v="15"/>
  </r>
  <r>
    <x v="8"/>
    <x v="4"/>
    <x v="28"/>
    <x v="4"/>
    <x v="8"/>
    <x v="1"/>
    <x v="1"/>
    <x v="1"/>
    <x v="0"/>
    <x v="0"/>
    <x v="0"/>
    <x v="0"/>
    <x v="0"/>
  </r>
  <r>
    <x v="8"/>
    <x v="4"/>
    <x v="28"/>
    <x v="4"/>
    <x v="8"/>
    <x v="1"/>
    <x v="1"/>
    <x v="2"/>
    <x v="0"/>
    <x v="0"/>
    <x v="0"/>
    <x v="0"/>
    <x v="0"/>
  </r>
  <r>
    <x v="8"/>
    <x v="4"/>
    <x v="28"/>
    <x v="4"/>
    <x v="8"/>
    <x v="1"/>
    <x v="1"/>
    <x v="0"/>
    <x v="0"/>
    <x v="0"/>
    <x v="0"/>
    <x v="0"/>
    <x v="0"/>
  </r>
  <r>
    <x v="8"/>
    <x v="4"/>
    <x v="30"/>
    <x v="14"/>
    <x v="8"/>
    <x v="1"/>
    <x v="1"/>
    <x v="3"/>
    <x v="0"/>
    <x v="0"/>
    <x v="0"/>
    <x v="0"/>
    <x v="0"/>
  </r>
  <r>
    <x v="8"/>
    <x v="4"/>
    <x v="30"/>
    <x v="14"/>
    <x v="8"/>
    <x v="1"/>
    <x v="1"/>
    <x v="1"/>
    <x v="0"/>
    <x v="0"/>
    <x v="0"/>
    <x v="0"/>
    <x v="0"/>
  </r>
  <r>
    <x v="8"/>
    <x v="4"/>
    <x v="30"/>
    <x v="14"/>
    <x v="8"/>
    <x v="1"/>
    <x v="1"/>
    <x v="2"/>
    <x v="13"/>
    <x v="1"/>
    <x v="35"/>
    <x v="3"/>
    <x v="21"/>
  </r>
  <r>
    <x v="8"/>
    <x v="4"/>
    <x v="30"/>
    <x v="14"/>
    <x v="8"/>
    <x v="1"/>
    <x v="1"/>
    <x v="0"/>
    <x v="0"/>
    <x v="0"/>
    <x v="0"/>
    <x v="0"/>
    <x v="0"/>
  </r>
  <r>
    <x v="8"/>
    <x v="4"/>
    <x v="4"/>
    <x v="8"/>
    <x v="8"/>
    <x v="1"/>
    <x v="1"/>
    <x v="3"/>
    <x v="0"/>
    <x v="0"/>
    <x v="0"/>
    <x v="0"/>
    <x v="0"/>
  </r>
  <r>
    <x v="8"/>
    <x v="4"/>
    <x v="4"/>
    <x v="8"/>
    <x v="8"/>
    <x v="1"/>
    <x v="1"/>
    <x v="1"/>
    <x v="27"/>
    <x v="1"/>
    <x v="37"/>
    <x v="27"/>
    <x v="14"/>
  </r>
  <r>
    <x v="8"/>
    <x v="4"/>
    <x v="4"/>
    <x v="8"/>
    <x v="8"/>
    <x v="1"/>
    <x v="1"/>
    <x v="2"/>
    <x v="0"/>
    <x v="0"/>
    <x v="0"/>
    <x v="0"/>
    <x v="0"/>
  </r>
  <r>
    <x v="8"/>
    <x v="4"/>
    <x v="4"/>
    <x v="8"/>
    <x v="8"/>
    <x v="1"/>
    <x v="1"/>
    <x v="0"/>
    <x v="0"/>
    <x v="0"/>
    <x v="0"/>
    <x v="0"/>
    <x v="0"/>
  </r>
  <r>
    <x v="9"/>
    <x v="2"/>
    <x v="35"/>
    <x v="15"/>
    <x v="9"/>
    <x v="2"/>
    <x v="1"/>
    <x v="3"/>
    <x v="0"/>
    <x v="0"/>
    <x v="0"/>
    <x v="0"/>
    <x v="0"/>
  </r>
  <r>
    <x v="9"/>
    <x v="2"/>
    <x v="35"/>
    <x v="15"/>
    <x v="9"/>
    <x v="2"/>
    <x v="1"/>
    <x v="1"/>
    <x v="0"/>
    <x v="0"/>
    <x v="0"/>
    <x v="0"/>
    <x v="0"/>
  </r>
  <r>
    <x v="9"/>
    <x v="2"/>
    <x v="35"/>
    <x v="15"/>
    <x v="9"/>
    <x v="2"/>
    <x v="1"/>
    <x v="2"/>
    <x v="0"/>
    <x v="0"/>
    <x v="0"/>
    <x v="0"/>
    <x v="0"/>
  </r>
  <r>
    <x v="9"/>
    <x v="2"/>
    <x v="35"/>
    <x v="15"/>
    <x v="9"/>
    <x v="2"/>
    <x v="1"/>
    <x v="0"/>
    <x v="42"/>
    <x v="1"/>
    <x v="43"/>
    <x v="6"/>
    <x v="31"/>
  </r>
  <r>
    <x v="9"/>
    <x v="2"/>
    <x v="23"/>
    <x v="7"/>
    <x v="9"/>
    <x v="2"/>
    <x v="1"/>
    <x v="3"/>
    <x v="0"/>
    <x v="0"/>
    <x v="0"/>
    <x v="0"/>
    <x v="0"/>
  </r>
  <r>
    <x v="9"/>
    <x v="2"/>
    <x v="23"/>
    <x v="7"/>
    <x v="9"/>
    <x v="2"/>
    <x v="1"/>
    <x v="1"/>
    <x v="43"/>
    <x v="2"/>
    <x v="14"/>
    <x v="1"/>
    <x v="17"/>
  </r>
  <r>
    <x v="9"/>
    <x v="2"/>
    <x v="23"/>
    <x v="7"/>
    <x v="9"/>
    <x v="2"/>
    <x v="1"/>
    <x v="2"/>
    <x v="0"/>
    <x v="0"/>
    <x v="0"/>
    <x v="0"/>
    <x v="0"/>
  </r>
  <r>
    <x v="9"/>
    <x v="2"/>
    <x v="23"/>
    <x v="7"/>
    <x v="9"/>
    <x v="2"/>
    <x v="1"/>
    <x v="0"/>
    <x v="0"/>
    <x v="0"/>
    <x v="0"/>
    <x v="0"/>
    <x v="0"/>
  </r>
  <r>
    <x v="9"/>
    <x v="2"/>
    <x v="5"/>
    <x v="42"/>
    <x v="9"/>
    <x v="2"/>
    <x v="1"/>
    <x v="3"/>
    <x v="0"/>
    <x v="0"/>
    <x v="0"/>
    <x v="0"/>
    <x v="0"/>
  </r>
  <r>
    <x v="9"/>
    <x v="2"/>
    <x v="5"/>
    <x v="42"/>
    <x v="9"/>
    <x v="2"/>
    <x v="1"/>
    <x v="1"/>
    <x v="0"/>
    <x v="0"/>
    <x v="0"/>
    <x v="0"/>
    <x v="0"/>
  </r>
  <r>
    <x v="9"/>
    <x v="2"/>
    <x v="5"/>
    <x v="42"/>
    <x v="9"/>
    <x v="2"/>
    <x v="1"/>
    <x v="2"/>
    <x v="0"/>
    <x v="0"/>
    <x v="0"/>
    <x v="0"/>
    <x v="0"/>
  </r>
  <r>
    <x v="9"/>
    <x v="2"/>
    <x v="5"/>
    <x v="42"/>
    <x v="9"/>
    <x v="2"/>
    <x v="1"/>
    <x v="0"/>
    <x v="30"/>
    <x v="2"/>
    <x v="5"/>
    <x v="6"/>
    <x v="69"/>
  </r>
  <r>
    <x v="9"/>
    <x v="2"/>
    <x v="37"/>
    <x v="24"/>
    <x v="9"/>
    <x v="2"/>
    <x v="1"/>
    <x v="3"/>
    <x v="63"/>
    <x v="2"/>
    <x v="24"/>
    <x v="8"/>
    <x v="70"/>
  </r>
  <r>
    <x v="9"/>
    <x v="2"/>
    <x v="37"/>
    <x v="24"/>
    <x v="9"/>
    <x v="2"/>
    <x v="1"/>
    <x v="1"/>
    <x v="66"/>
    <x v="3"/>
    <x v="24"/>
    <x v="11"/>
    <x v="72"/>
  </r>
  <r>
    <x v="9"/>
    <x v="2"/>
    <x v="37"/>
    <x v="24"/>
    <x v="9"/>
    <x v="2"/>
    <x v="1"/>
    <x v="2"/>
    <x v="0"/>
    <x v="0"/>
    <x v="0"/>
    <x v="0"/>
    <x v="0"/>
  </r>
  <r>
    <x v="9"/>
    <x v="2"/>
    <x v="37"/>
    <x v="24"/>
    <x v="9"/>
    <x v="2"/>
    <x v="1"/>
    <x v="0"/>
    <x v="0"/>
    <x v="0"/>
    <x v="0"/>
    <x v="0"/>
    <x v="0"/>
  </r>
  <r>
    <x v="10"/>
    <x v="3"/>
    <x v="22"/>
    <x v="36"/>
    <x v="10"/>
    <x v="0"/>
    <x v="1"/>
    <x v="3"/>
    <x v="0"/>
    <x v="0"/>
    <x v="0"/>
    <x v="0"/>
    <x v="0"/>
  </r>
  <r>
    <x v="10"/>
    <x v="3"/>
    <x v="22"/>
    <x v="36"/>
    <x v="10"/>
    <x v="0"/>
    <x v="1"/>
    <x v="1"/>
    <x v="0"/>
    <x v="0"/>
    <x v="0"/>
    <x v="0"/>
    <x v="0"/>
  </r>
  <r>
    <x v="10"/>
    <x v="3"/>
    <x v="22"/>
    <x v="36"/>
    <x v="10"/>
    <x v="0"/>
    <x v="1"/>
    <x v="2"/>
    <x v="39"/>
    <x v="1"/>
    <x v="30"/>
    <x v="23"/>
    <x v="66"/>
  </r>
  <r>
    <x v="10"/>
    <x v="3"/>
    <x v="22"/>
    <x v="36"/>
    <x v="10"/>
    <x v="0"/>
    <x v="1"/>
    <x v="0"/>
    <x v="40"/>
    <x v="2"/>
    <x v="30"/>
    <x v="23"/>
    <x v="68"/>
  </r>
  <r>
    <x v="10"/>
    <x v="3"/>
    <x v="9"/>
    <x v="12"/>
    <x v="10"/>
    <x v="0"/>
    <x v="1"/>
    <x v="3"/>
    <x v="0"/>
    <x v="0"/>
    <x v="0"/>
    <x v="0"/>
    <x v="0"/>
  </r>
  <r>
    <x v="10"/>
    <x v="3"/>
    <x v="9"/>
    <x v="12"/>
    <x v="10"/>
    <x v="0"/>
    <x v="1"/>
    <x v="1"/>
    <x v="0"/>
    <x v="0"/>
    <x v="0"/>
    <x v="0"/>
    <x v="0"/>
  </r>
  <r>
    <x v="10"/>
    <x v="3"/>
    <x v="9"/>
    <x v="12"/>
    <x v="10"/>
    <x v="0"/>
    <x v="1"/>
    <x v="2"/>
    <x v="69"/>
    <x v="1"/>
    <x v="2"/>
    <x v="21"/>
    <x v="41"/>
  </r>
  <r>
    <x v="10"/>
    <x v="3"/>
    <x v="9"/>
    <x v="12"/>
    <x v="10"/>
    <x v="0"/>
    <x v="1"/>
    <x v="0"/>
    <x v="70"/>
    <x v="2"/>
    <x v="2"/>
    <x v="17"/>
    <x v="45"/>
  </r>
  <r>
    <x v="10"/>
    <x v="3"/>
    <x v="7"/>
    <x v="20"/>
    <x v="10"/>
    <x v="0"/>
    <x v="1"/>
    <x v="3"/>
    <x v="0"/>
    <x v="0"/>
    <x v="0"/>
    <x v="0"/>
    <x v="0"/>
  </r>
  <r>
    <x v="10"/>
    <x v="3"/>
    <x v="7"/>
    <x v="20"/>
    <x v="10"/>
    <x v="0"/>
    <x v="1"/>
    <x v="1"/>
    <x v="0"/>
    <x v="0"/>
    <x v="0"/>
    <x v="0"/>
    <x v="0"/>
  </r>
  <r>
    <x v="10"/>
    <x v="3"/>
    <x v="7"/>
    <x v="20"/>
    <x v="10"/>
    <x v="0"/>
    <x v="1"/>
    <x v="2"/>
    <x v="0"/>
    <x v="0"/>
    <x v="0"/>
    <x v="0"/>
    <x v="0"/>
  </r>
  <r>
    <x v="10"/>
    <x v="3"/>
    <x v="7"/>
    <x v="20"/>
    <x v="10"/>
    <x v="0"/>
    <x v="1"/>
    <x v="0"/>
    <x v="56"/>
    <x v="1"/>
    <x v="10"/>
    <x v="4"/>
    <x v="6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_PP_9" cacheId="1" applyNumberFormats="0" applyBorderFormats="0" applyFontFormats="0" applyPatternFormats="0" applyAlignmentFormats="0" applyWidthHeightFormats="0" dataCaption="Values" useAutoFormatting="0" itemPrintTitles="1" indent="0" outline="0" outlineData="0" compact="0" compactData="0">
  <location ref="A3:E188" firstHeaderRow="1" firstDataRow="1" firstDataCol="4"/>
  <pivotFields count="13">
    <pivotField axis="axisRow" compact="0" showAll="0" defaultSubtotal="0" outline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showAll="0"/>
    <pivotField axis="axisRow" compact="0" showAll="0" defaultSubtotal="0" outline="0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</pivotField>
    <pivotField compact="0" showAll="0"/>
    <pivotField compact="0" showAll="0"/>
    <pivotField compact="0" showAll="0"/>
    <pivotField compact="0" showAll="0"/>
    <pivotField axis="axisRow" compact="0" showAll="0" defaultSubtotal="0" outline="0">
      <items count="4">
        <item x="0"/>
        <item x="1"/>
        <item x="2"/>
        <item x="3"/>
      </items>
    </pivotField>
    <pivotField compact="0" showAll="0"/>
    <pivotField compact="0" showAll="0"/>
    <pivotField axis="axisRow" compact="0" showAll="0" defaultSubtotal="0" outline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  <pivotField compact="0" showAll="0"/>
    <pivotField dataField="1" compact="0" showAll="0"/>
  </pivotFields>
  <rowFields count="4">
    <field x="0"/>
    <field x="2"/>
    <field x="10"/>
    <field x="7"/>
  </rowFields>
  <dataFields count="1">
    <dataField name="Сумма - Стоимость_по_позиции" fld="12" subtotal="sum" numFmtId="167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 pitchFamily="0"/>
        <a:ea typeface=""/>
        <a:cs typeface=""/>
      </a:majorFont>
      <a:minorFont>
        <a:latin typeface="Calibri" panose="020F0502020204030204" pitchFamily="0"/>
        <a:ea typeface=""/>
        <a:cs typeface="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B5" activeCellId="0" sqref="B5"/>
    </sheetView>
  </sheetViews>
  <sheetFormatPr defaultColWidth="8.24609375" defaultRowHeight="14.25" zeroHeight="false" outlineLevelRow="0" outlineLevelCol="0"/>
  <cols>
    <col collapsed="false" customWidth="true" hidden="false" outlineLevel="0" max="1" min="1" style="1" width="43.41"/>
    <col collapsed="false" customWidth="true" hidden="false" outlineLevel="0" max="4" min="2" style="1" width="48.5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3"/>
      <c r="E1" s="1"/>
      <c r="F1" s="1"/>
    </row>
    <row r="2" customFormat="false" ht="15" hidden="false" customHeight="true" outlineLevel="0" collapsed="false">
      <c r="A2" s="4" t="s">
        <v>3</v>
      </c>
      <c r="B2" s="5" t="s">
        <v>4</v>
      </c>
      <c r="C2" s="5"/>
      <c r="D2" s="5"/>
    </row>
    <row r="3" customFormat="false" ht="15" hidden="false" customHeight="true" outlineLevel="0" collapsed="false">
      <c r="A3" s="4" t="s">
        <v>5</v>
      </c>
      <c r="B3" s="6" t="s">
        <v>6</v>
      </c>
      <c r="C3" s="7"/>
      <c r="D3" s="7"/>
    </row>
    <row r="4" customFormat="false" ht="15" hidden="false" customHeight="true" outlineLevel="0" collapsed="false">
      <c r="A4" s="4" t="s">
        <v>7</v>
      </c>
      <c r="B4" s="7" t="s">
        <v>8</v>
      </c>
      <c r="C4" s="7"/>
      <c r="D4" s="7"/>
    </row>
    <row r="5" customFormat="false" ht="43.5" hidden="false" customHeight="true" outlineLevel="0" collapsed="false">
      <c r="A5" s="4" t="s">
        <v>9</v>
      </c>
      <c r="B5" s="7" t="s">
        <v>10</v>
      </c>
      <c r="C5" s="7"/>
      <c r="D5" s="7"/>
    </row>
    <row r="6" customFormat="false" ht="15" hidden="false" customHeight="true" outlineLevel="0" collapsed="false">
      <c r="A6" s="4" t="s">
        <v>11</v>
      </c>
      <c r="B6" s="7" t="s">
        <v>12</v>
      </c>
      <c r="C6" s="7"/>
      <c r="D6" s="7"/>
    </row>
    <row r="7" customFormat="false" ht="15" hidden="false" customHeight="true" outlineLevel="0" collapsed="false">
      <c r="A7" s="4" t="s">
        <v>13</v>
      </c>
      <c r="B7" s="7" t="s">
        <v>12</v>
      </c>
      <c r="C7" s="7"/>
      <c r="D7" s="7"/>
    </row>
    <row r="8" customFormat="false" ht="15" hidden="false" customHeight="true" outlineLevel="0" collapsed="false">
      <c r="A8" s="4" t="s">
        <v>14</v>
      </c>
      <c r="B8" s="7" t="s">
        <v>15</v>
      </c>
      <c r="C8" s="7"/>
      <c r="D8" s="7"/>
    </row>
    <row r="9" customFormat="false" ht="15" hidden="false" customHeight="true" outlineLevel="0" collapsed="false">
      <c r="A9" s="4" t="s">
        <v>16</v>
      </c>
      <c r="B9" s="6" t="s">
        <v>17</v>
      </c>
      <c r="C9" s="6"/>
      <c r="D9" s="7"/>
    </row>
    <row r="10" customFormat="false" ht="15" hidden="false" customHeight="true" outlineLevel="0" collapsed="false">
      <c r="A10" s="4" t="s">
        <v>18</v>
      </c>
      <c r="B10" s="6" t="s">
        <v>19</v>
      </c>
      <c r="C10" s="6"/>
      <c r="D10" s="7"/>
    </row>
    <row r="11" customFormat="false" ht="15" hidden="false" customHeight="true" outlineLevel="0" collapsed="false">
      <c r="A11" s="4" t="s">
        <v>20</v>
      </c>
      <c r="B11" s="7"/>
      <c r="C11" s="7"/>
      <c r="D11" s="7"/>
    </row>
    <row r="12" customFormat="false" ht="15" hidden="false" customHeight="true" outlineLevel="0" collapsed="false">
      <c r="A12" s="4" t="s">
        <v>21</v>
      </c>
      <c r="B12" s="7"/>
      <c r="C12" s="7"/>
      <c r="D12" s="7"/>
    </row>
    <row r="13" customFormat="false" ht="15" hidden="false" customHeight="true" outlineLevel="0" collapsed="false">
      <c r="A13" s="4" t="s">
        <v>22</v>
      </c>
      <c r="B13" s="6" t="s">
        <v>19</v>
      </c>
      <c r="C13" s="6"/>
      <c r="D13" s="7"/>
    </row>
    <row r="14" customFormat="false" ht="15" hidden="false" customHeight="true" outlineLevel="0" collapsed="false">
      <c r="A14" s="4" t="s">
        <v>23</v>
      </c>
      <c r="B14" s="7" t="s">
        <v>24</v>
      </c>
      <c r="C14" s="7"/>
      <c r="D14" s="7"/>
    </row>
    <row r="15" customFormat="false" ht="171" hidden="false" customHeight="true" outlineLevel="0" collapsed="false">
      <c r="A15" s="4" t="s">
        <v>25</v>
      </c>
      <c r="B15" s="7"/>
      <c r="C15" s="7" t="s">
        <v>26</v>
      </c>
      <c r="D15" s="7"/>
    </row>
  </sheetData>
  <mergeCells count="1">
    <mergeCell ref="B2:D2"/>
  </mergeCells>
  <dataValidations count="5">
    <dataValidation allowBlank="true" errorStyle="stop" operator="equal" showDropDown="false" showErrorMessage="false" showInputMessage="false" sqref="A2:A15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6:B7" type="list">
      <formula1>"Да,Нет"</formula1>
      <formula2>0</formula2>
    </dataValidation>
    <dataValidation allowBlank="true" errorStyle="stop" operator="equal" showDropDown="false" showErrorMessage="false" showInputMessage="false" sqref="B14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14" type="list">
      <formula1>"По_API,Буфер_по_заголовкам,Буфер_по_позиции,xml_excel_ods"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 &amp;Kffffff&amp;A</oddHeader>
    <oddFooter>&amp;C&amp;"PT Sans,Обычный"&amp;12 &amp;KffffffСтраница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8" activePane="bottomLeft" state="frozen"/>
      <selection pane="topLeft" activeCell="A1" activeCellId="0" sqref="A1"/>
      <selection pane="bottomLeft" activeCell="C15" activeCellId="0" sqref="C15"/>
    </sheetView>
  </sheetViews>
  <sheetFormatPr defaultColWidth="8.24609375" defaultRowHeight="14.25" zeroHeight="false" outlineLevelRow="0" outlineLevelCol="0"/>
  <cols>
    <col collapsed="false" customWidth="true" hidden="false" outlineLevel="0" max="1" min="1" style="1" width="43.41"/>
    <col collapsed="false" customWidth="true" hidden="false" outlineLevel="0" max="2" min="2" style="1" width="48.52"/>
    <col collapsed="false" customWidth="true" hidden="false" outlineLevel="0" max="3" min="3" style="1" width="72.98"/>
    <col collapsed="false" customWidth="true" hidden="false" outlineLevel="0" max="4" min="4" style="1" width="48.5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3"/>
      <c r="E1" s="1"/>
      <c r="F1" s="1"/>
    </row>
    <row r="2" customFormat="false" ht="15" hidden="false" customHeight="true" outlineLevel="0" collapsed="false">
      <c r="A2" s="4" t="s">
        <v>3</v>
      </c>
      <c r="B2" s="5" t="s">
        <v>4</v>
      </c>
      <c r="C2" s="5"/>
      <c r="D2" s="5"/>
    </row>
    <row r="3" customFormat="false" ht="15" hidden="false" customHeight="true" outlineLevel="0" collapsed="false">
      <c r="A3" s="4" t="s">
        <v>5</v>
      </c>
      <c r="B3" s="6" t="s">
        <v>6</v>
      </c>
      <c r="C3" s="7"/>
      <c r="D3" s="7"/>
    </row>
    <row r="4" customFormat="false" ht="15" hidden="false" customHeight="true" outlineLevel="0" collapsed="false">
      <c r="A4" s="4" t="s">
        <v>7</v>
      </c>
      <c r="B4" s="7" t="s">
        <v>8</v>
      </c>
      <c r="C4" s="7"/>
      <c r="D4" s="7"/>
    </row>
    <row r="5" customFormat="false" ht="43.5" hidden="false" customHeight="true" outlineLevel="0" collapsed="false">
      <c r="A5" s="4" t="s">
        <v>9</v>
      </c>
      <c r="B5" s="7" t="s">
        <v>10</v>
      </c>
      <c r="C5" s="7"/>
      <c r="D5" s="7"/>
    </row>
    <row r="6" customFormat="false" ht="15" hidden="false" customHeight="true" outlineLevel="0" collapsed="false">
      <c r="A6" s="4" t="s">
        <v>11</v>
      </c>
      <c r="B6" s="7" t="s">
        <v>27</v>
      </c>
      <c r="C6" s="7"/>
      <c r="D6" s="7"/>
    </row>
    <row r="7" customFormat="false" ht="15" hidden="false" customHeight="true" outlineLevel="0" collapsed="false">
      <c r="A7" s="4" t="s">
        <v>13</v>
      </c>
      <c r="B7" s="7" t="s">
        <v>12</v>
      </c>
      <c r="C7" s="7"/>
      <c r="D7" s="7"/>
    </row>
    <row r="8" customFormat="false" ht="15" hidden="false" customHeight="true" outlineLevel="0" collapsed="false">
      <c r="A8" s="4" t="s">
        <v>28</v>
      </c>
      <c r="B8" s="7" t="s">
        <v>12</v>
      </c>
      <c r="C8" s="7"/>
      <c r="D8" s="7"/>
    </row>
    <row r="9" customFormat="false" ht="15" hidden="false" customHeight="true" outlineLevel="0" collapsed="false">
      <c r="A9" s="4" t="s">
        <v>14</v>
      </c>
      <c r="B9" s="7" t="s">
        <v>29</v>
      </c>
      <c r="C9" s="7"/>
      <c r="D9" s="7"/>
    </row>
    <row r="10" customFormat="false" ht="15" hidden="false" customHeight="true" outlineLevel="0" collapsed="false">
      <c r="A10" s="4" t="s">
        <v>16</v>
      </c>
      <c r="B10" s="6" t="s">
        <v>17</v>
      </c>
      <c r="C10" s="6"/>
      <c r="D10" s="7"/>
    </row>
    <row r="11" customFormat="false" ht="15" hidden="false" customHeight="true" outlineLevel="0" collapsed="false">
      <c r="A11" s="4" t="s">
        <v>18</v>
      </c>
      <c r="B11" s="6" t="s">
        <v>19</v>
      </c>
      <c r="C11" s="6"/>
      <c r="D11" s="7"/>
    </row>
    <row r="12" customFormat="false" ht="15" hidden="false" customHeight="true" outlineLevel="0" collapsed="false">
      <c r="A12" s="4" t="s">
        <v>20</v>
      </c>
      <c r="B12" s="7"/>
      <c r="C12" s="7"/>
      <c r="D12" s="7"/>
    </row>
    <row r="13" customFormat="false" ht="15" hidden="false" customHeight="true" outlineLevel="0" collapsed="false">
      <c r="A13" s="4" t="s">
        <v>21</v>
      </c>
      <c r="B13" s="7"/>
      <c r="C13" s="7"/>
      <c r="D13" s="7"/>
    </row>
    <row r="14" customFormat="false" ht="15" hidden="false" customHeight="true" outlineLevel="0" collapsed="false">
      <c r="A14" s="4" t="s">
        <v>22</v>
      </c>
      <c r="B14" s="6" t="s">
        <v>19</v>
      </c>
      <c r="C14" s="6"/>
      <c r="D14" s="7"/>
    </row>
    <row r="15" customFormat="false" ht="16.5" hidden="false" customHeight="true" outlineLevel="0" collapsed="false">
      <c r="A15" s="4" t="s">
        <v>23</v>
      </c>
      <c r="B15" s="7" t="s">
        <v>24</v>
      </c>
      <c r="C15" s="7"/>
      <c r="D15" s="7"/>
      <c r="E15" s="1"/>
      <c r="F15" s="1"/>
    </row>
    <row r="16" customFormat="false" ht="63.75" hidden="false" customHeight="true" outlineLevel="0" collapsed="false">
      <c r="A16" s="8" t="s">
        <v>30</v>
      </c>
      <c r="B16" s="9" t="s">
        <v>31</v>
      </c>
      <c r="C16" s="9" t="s">
        <v>32</v>
      </c>
      <c r="E16" s="1"/>
      <c r="F16" s="1"/>
    </row>
    <row r="17" customFormat="false" ht="86.25" hidden="false" customHeight="true" outlineLevel="0" collapsed="false">
      <c r="A17" s="4" t="s">
        <v>33</v>
      </c>
      <c r="B17" s="7" t="s">
        <v>34</v>
      </c>
      <c r="C17" s="7" t="s">
        <v>35</v>
      </c>
      <c r="E17" s="1"/>
      <c r="F17" s="1"/>
    </row>
    <row r="18" customFormat="false" ht="27" hidden="false" customHeight="true" outlineLevel="0" collapsed="false">
      <c r="A18" s="8" t="s">
        <v>36</v>
      </c>
      <c r="B18" s="9" t="s">
        <v>37</v>
      </c>
      <c r="C18" s="9" t="s">
        <v>38</v>
      </c>
      <c r="E18" s="1"/>
      <c r="F18" s="1"/>
    </row>
    <row r="19" customFormat="false" ht="57.75" hidden="false" customHeight="true" outlineLevel="0" collapsed="false">
      <c r="A19" s="4" t="s">
        <v>39</v>
      </c>
      <c r="B19" s="7" t="s">
        <v>37</v>
      </c>
      <c r="C19" s="7" t="s">
        <v>40</v>
      </c>
      <c r="E19" s="1"/>
      <c r="F19" s="1"/>
    </row>
    <row r="20" customFormat="false" ht="29.25" hidden="false" customHeight="true" outlineLevel="0" collapsed="false">
      <c r="A20" s="8" t="s">
        <v>36</v>
      </c>
      <c r="B20" s="9" t="s">
        <v>41</v>
      </c>
      <c r="C20" s="9" t="s">
        <v>42</v>
      </c>
      <c r="E20" s="1"/>
      <c r="F20" s="1"/>
    </row>
    <row r="21" customFormat="false" ht="143.25" hidden="false" customHeight="true" outlineLevel="0" collapsed="false">
      <c r="A21" s="4" t="s">
        <v>39</v>
      </c>
      <c r="B21" s="7" t="s">
        <v>43</v>
      </c>
      <c r="C21" s="7" t="s">
        <v>44</v>
      </c>
      <c r="E21" s="1"/>
      <c r="F21" s="1"/>
    </row>
    <row r="22" customFormat="false" ht="16.5" hidden="false" customHeight="true" outlineLevel="0" collapsed="false">
      <c r="A22" s="4" t="s">
        <v>39</v>
      </c>
      <c r="B22" s="7" t="s">
        <v>45</v>
      </c>
      <c r="C22" s="7" t="s">
        <v>46</v>
      </c>
      <c r="E22" s="1"/>
      <c r="F22" s="1"/>
    </row>
    <row r="23" customFormat="false" ht="16.5" hidden="false" customHeight="true" outlineLevel="0" collapsed="false">
      <c r="A23" s="4" t="s">
        <v>39</v>
      </c>
      <c r="B23" s="7" t="s">
        <v>45</v>
      </c>
      <c r="C23" s="7" t="s">
        <v>47</v>
      </c>
      <c r="E23" s="1"/>
      <c r="F23" s="1"/>
    </row>
    <row r="24" customFormat="false" ht="15" hidden="false" customHeight="true" outlineLevel="0" collapsed="false">
      <c r="A24" s="4" t="s">
        <v>39</v>
      </c>
      <c r="B24" s="7" t="s">
        <v>48</v>
      </c>
      <c r="C24" s="7" t="s">
        <v>49</v>
      </c>
      <c r="E24" s="1"/>
      <c r="F24" s="1"/>
    </row>
    <row r="25" customFormat="false" ht="16.5" hidden="false" customHeight="true" outlineLevel="0" collapsed="false">
      <c r="A25" s="4" t="s">
        <v>39</v>
      </c>
      <c r="B25" s="7" t="s">
        <v>50</v>
      </c>
      <c r="C25" s="7" t="s">
        <v>51</v>
      </c>
      <c r="E25" s="1"/>
      <c r="F25" s="1"/>
    </row>
  </sheetData>
  <mergeCells count="1">
    <mergeCell ref="B2:D2"/>
  </mergeCells>
  <dataValidations count="11">
    <dataValidation allowBlank="true" errorStyle="stop" operator="equal" showDropDown="false" showErrorMessage="false" showInputMessage="false" sqref="A2:A7 A9:A25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6:B7" type="list">
      <formula1>"Да,Нет"</formula1>
      <formula2>0</formula2>
    </dataValidation>
    <dataValidation allowBlank="true" errorStyle="stop" operator="equal" showDropDown="false" showErrorMessage="false" showInputMessage="false" sqref="B25" type="list">
      <formula1>_Визард_Списки!$C$1:$C$89</formula1>
      <formula2>0</formula2>
    </dataValidation>
    <dataValidation allowBlank="true" errorStyle="stop" operator="equal" showDropDown="false" showErrorMessage="false" showInputMessage="false" sqref="A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8" type="list">
      <formula1>"Да,Нет"</formula1>
      <formula2>0</formula2>
    </dataValidation>
    <dataValidation allowBlank="true" errorStyle="stop" operator="equal" showDropDown="false" showErrorMessage="false" showInputMessage="false" sqref="B15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15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16:B17" type="list">
      <formula1>_Визард_Списки!$B$1:$B$80</formula1>
      <formula2>0</formula2>
    </dataValidation>
    <dataValidation allowBlank="true" errorStyle="stop" operator="equal" showDropDown="false" showErrorMessage="false" showInputMessage="false" sqref="B18:B24" type="list">
      <formula1>_Визард_Списки!$C$1:$C$89</formula1>
      <formula2>0</formula2>
    </dataValidation>
    <dataValidation allowBlank="true" errorStyle="stop" operator="equal" showDropDown="false" showErrorMessage="false" showInputMessage="false" sqref="A26:A28" type="list">
      <formula1>_Визард_Списки!$A$1:$A$50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 &amp;Kffffff&amp;A</oddHeader>
    <oddFooter>&amp;C&amp;"PT Sans,Обычный"&amp;12 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20" activePane="bottomLeft" state="frozen"/>
      <selection pane="topLeft" activeCell="A1" activeCellId="0" sqref="A1"/>
      <selection pane="bottomLeft" activeCell="C27" activeCellId="0" sqref="C27"/>
    </sheetView>
  </sheetViews>
  <sheetFormatPr defaultColWidth="8.24609375" defaultRowHeight="14.25" zeroHeight="false" outlineLevelRow="0" outlineLevelCol="0"/>
  <cols>
    <col collapsed="false" customWidth="true" hidden="false" outlineLevel="0" max="1" min="1" style="1" width="43.41"/>
    <col collapsed="false" customWidth="true" hidden="false" outlineLevel="0" max="2" min="2" style="1" width="48.52"/>
    <col collapsed="false" customWidth="true" hidden="false" outlineLevel="0" max="3" min="3" style="1" width="58.49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1"/>
      <c r="E1" s="1"/>
    </row>
    <row r="2" customFormat="false" ht="15" hidden="false" customHeight="true" outlineLevel="0" collapsed="false">
      <c r="A2" s="4" t="s">
        <v>3</v>
      </c>
      <c r="B2" s="5" t="s">
        <v>4</v>
      </c>
      <c r="C2" s="5"/>
    </row>
    <row r="3" customFormat="false" ht="15" hidden="false" customHeight="true" outlineLevel="0" collapsed="false">
      <c r="A3" s="4" t="s">
        <v>5</v>
      </c>
      <c r="B3" s="6" t="s">
        <v>6</v>
      </c>
      <c r="C3" s="7"/>
    </row>
    <row r="4" customFormat="false" ht="15" hidden="false" customHeight="true" outlineLevel="0" collapsed="false">
      <c r="A4" s="4" t="s">
        <v>7</v>
      </c>
      <c r="B4" s="7" t="s">
        <v>8</v>
      </c>
      <c r="C4" s="7"/>
    </row>
    <row r="5" customFormat="false" ht="43.5" hidden="false" customHeight="true" outlineLevel="0" collapsed="false">
      <c r="A5" s="4" t="s">
        <v>9</v>
      </c>
      <c r="B5" s="7" t="s">
        <v>10</v>
      </c>
      <c r="C5" s="7"/>
    </row>
    <row r="6" customFormat="false" ht="15" hidden="false" customHeight="true" outlineLevel="0" collapsed="false">
      <c r="A6" s="4" t="s">
        <v>11</v>
      </c>
      <c r="B6" s="7" t="s">
        <v>12</v>
      </c>
      <c r="C6" s="7"/>
    </row>
    <row r="7" customFormat="false" ht="15" hidden="false" customHeight="true" outlineLevel="0" collapsed="false">
      <c r="A7" s="4" t="s">
        <v>13</v>
      </c>
      <c r="B7" s="7" t="s">
        <v>12</v>
      </c>
      <c r="C7" s="7"/>
    </row>
    <row r="8" customFormat="false" ht="15" hidden="false" customHeight="true" outlineLevel="0" collapsed="false">
      <c r="A8" s="4" t="s">
        <v>28</v>
      </c>
      <c r="B8" s="7" t="s">
        <v>12</v>
      </c>
      <c r="C8" s="7"/>
      <c r="D8" s="7"/>
    </row>
    <row r="9" customFormat="false" ht="15" hidden="false" customHeight="true" outlineLevel="0" collapsed="false">
      <c r="A9" s="4" t="s">
        <v>14</v>
      </c>
      <c r="B9" s="7" t="s">
        <v>15</v>
      </c>
      <c r="C9" s="7"/>
    </row>
    <row r="10" customFormat="false" ht="15" hidden="false" customHeight="true" outlineLevel="0" collapsed="false">
      <c r="A10" s="4" t="s">
        <v>52</v>
      </c>
      <c r="B10" s="7" t="s">
        <v>53</v>
      </c>
      <c r="C10" s="7"/>
    </row>
    <row r="11" customFormat="false" ht="15" hidden="false" customHeight="true" outlineLevel="0" collapsed="false">
      <c r="A11" s="4" t="s">
        <v>16</v>
      </c>
      <c r="B11" s="6" t="s">
        <v>17</v>
      </c>
      <c r="C11" s="6"/>
    </row>
    <row r="12" customFormat="false" ht="15" hidden="false" customHeight="true" outlineLevel="0" collapsed="false">
      <c r="A12" s="4" t="s">
        <v>18</v>
      </c>
      <c r="B12" s="6" t="s">
        <v>19</v>
      </c>
      <c r="C12" s="6"/>
    </row>
    <row r="13" customFormat="false" ht="15" hidden="false" customHeight="true" outlineLevel="0" collapsed="false">
      <c r="A13" s="4" t="s">
        <v>20</v>
      </c>
      <c r="B13" s="7"/>
      <c r="C13" s="7"/>
    </row>
    <row r="14" customFormat="false" ht="15" hidden="false" customHeight="true" outlineLevel="0" collapsed="false">
      <c r="A14" s="4" t="s">
        <v>21</v>
      </c>
      <c r="B14" s="7"/>
      <c r="C14" s="7"/>
    </row>
    <row r="15" customFormat="false" ht="15" hidden="false" customHeight="true" outlineLevel="0" collapsed="false">
      <c r="A15" s="4" t="s">
        <v>22</v>
      </c>
      <c r="B15" s="6" t="s">
        <v>19</v>
      </c>
      <c r="C15" s="6"/>
    </row>
    <row r="16" customFormat="false" ht="16.5" hidden="false" customHeight="true" outlineLevel="0" collapsed="false">
      <c r="A16" s="4" t="s">
        <v>23</v>
      </c>
      <c r="B16" s="7" t="s">
        <v>24</v>
      </c>
      <c r="C16" s="7"/>
    </row>
    <row r="17" customFormat="false" ht="51" hidden="false" customHeight="true" outlineLevel="0" collapsed="false">
      <c r="A17" s="4" t="s">
        <v>33</v>
      </c>
      <c r="B17" s="7" t="s">
        <v>54</v>
      </c>
      <c r="C17" s="7" t="s">
        <v>55</v>
      </c>
      <c r="D17" s="1"/>
      <c r="E17" s="1"/>
    </row>
    <row r="18" customFormat="false" ht="143.25" hidden="false" customHeight="true" outlineLevel="0" collapsed="false">
      <c r="A18" s="4" t="s">
        <v>25</v>
      </c>
      <c r="B18" s="7"/>
      <c r="C18" s="7" t="s">
        <v>56</v>
      </c>
    </row>
    <row r="19" customFormat="false" ht="199.5" hidden="false" customHeight="true" outlineLevel="0" collapsed="false">
      <c r="A19" s="4" t="s">
        <v>25</v>
      </c>
      <c r="B19" s="7"/>
      <c r="C19" s="7" t="s">
        <v>57</v>
      </c>
    </row>
    <row r="20" customFormat="false" ht="29.25" hidden="false" customHeight="true" outlineLevel="0" collapsed="false">
      <c r="A20" s="4" t="s">
        <v>33</v>
      </c>
      <c r="B20" s="7" t="s">
        <v>37</v>
      </c>
      <c r="C20" s="7" t="s">
        <v>58</v>
      </c>
      <c r="D20" s="1"/>
      <c r="E20" s="1"/>
    </row>
    <row r="21" customFormat="false" ht="79.5" hidden="false" customHeight="true" outlineLevel="0" collapsed="false">
      <c r="A21" s="4" t="s">
        <v>33</v>
      </c>
      <c r="B21" s="7" t="s">
        <v>54</v>
      </c>
      <c r="C21" s="7" t="s">
        <v>59</v>
      </c>
      <c r="D21" s="1"/>
      <c r="E21" s="1"/>
    </row>
    <row r="22" customFormat="false" ht="79.5" hidden="false" customHeight="true" outlineLevel="0" collapsed="false">
      <c r="A22" s="4" t="s">
        <v>33</v>
      </c>
      <c r="B22" s="7" t="s">
        <v>60</v>
      </c>
      <c r="C22" s="7" t="s">
        <v>61</v>
      </c>
      <c r="D22" s="1"/>
      <c r="E22" s="1"/>
    </row>
    <row r="23" customFormat="false" ht="16.5" hidden="false" customHeight="true" outlineLevel="0" collapsed="false">
      <c r="A23" s="4" t="s">
        <v>33</v>
      </c>
      <c r="B23" s="7" t="s">
        <v>48</v>
      </c>
      <c r="C23" s="7" t="s">
        <v>62</v>
      </c>
      <c r="D23" s="1"/>
      <c r="E23" s="1"/>
    </row>
    <row r="24" customFormat="false" ht="32.25" hidden="false" customHeight="true" outlineLevel="0" collapsed="false">
      <c r="A24" s="4" t="s">
        <v>33</v>
      </c>
      <c r="B24" s="7" t="s">
        <v>63</v>
      </c>
      <c r="C24" s="7" t="s">
        <v>64</v>
      </c>
      <c r="D24" s="1"/>
      <c r="E24" s="1"/>
    </row>
    <row r="25" customFormat="false" ht="32.25" hidden="false" customHeight="true" outlineLevel="0" collapsed="false">
      <c r="A25" s="4" t="s">
        <v>39</v>
      </c>
      <c r="B25" s="7" t="s">
        <v>45</v>
      </c>
      <c r="C25" s="7" t="s">
        <v>65</v>
      </c>
      <c r="D25" s="1"/>
      <c r="E25" s="1"/>
    </row>
    <row r="26" customFormat="false" ht="32.25" hidden="false" customHeight="true" outlineLevel="0" collapsed="false">
      <c r="A26" s="4" t="s">
        <v>39</v>
      </c>
      <c r="B26" s="7" t="s">
        <v>45</v>
      </c>
      <c r="C26" s="7" t="s">
        <v>66</v>
      </c>
      <c r="D26" s="1"/>
      <c r="E26" s="1"/>
    </row>
    <row r="27" customFormat="false" ht="86.25" hidden="false" customHeight="true" outlineLevel="0" collapsed="false">
      <c r="A27" s="4" t="s">
        <v>39</v>
      </c>
      <c r="B27" s="7" t="s">
        <v>31</v>
      </c>
      <c r="C27" s="7" t="s">
        <v>67</v>
      </c>
      <c r="D27" s="1"/>
      <c r="E27" s="1"/>
    </row>
  </sheetData>
  <mergeCells count="1">
    <mergeCell ref="B2:C2"/>
  </mergeCells>
  <dataValidations count="10">
    <dataValidation allowBlank="true" errorStyle="stop" operator="equal" showDropDown="false" showErrorMessage="false" showInputMessage="false" sqref="A2:A7 A9:A27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6:B7" type="list">
      <formula1>"Да,Нет"</formula1>
      <formula2>0</formula2>
    </dataValidation>
    <dataValidation allowBlank="true" errorStyle="stop" operator="equal" showDropDown="false" showErrorMessage="false" showInputMessage="false" sqref="A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8" type="list">
      <formula1>"Да,Нет"</formula1>
      <formula2>0</formula2>
    </dataValidation>
    <dataValidation allowBlank="true" errorStyle="stop" operator="equal" showDropDown="false" showErrorMessage="false" showInputMessage="false" sqref="B16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16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17 B20:B24" type="list">
      <formula1>_Визард_Списки!$B$1:$B$80</formula1>
      <formula2>0</formula2>
    </dataValidation>
    <dataValidation allowBlank="true" errorStyle="stop" operator="equal" showDropDown="false" showErrorMessage="false" showInputMessage="false" sqref="B25:B27" type="list">
      <formula1>_Визард_Списки!$C$1:$C$89</formula1>
      <formula2>0</formula2>
    </dataValidation>
    <dataValidation allowBlank="true" errorStyle="stop" operator="equal" showDropDown="false" showErrorMessage="false" showInputMessage="false" sqref="A28:A30" type="list">
      <formula1>_Визард_Списки!$A$1:$A$50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 &amp;Kffffff&amp;A</oddHeader>
    <oddFooter>&amp;C&amp;"PT Sans,Обычный"&amp;12 &amp;KffffffСтраница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24609375" defaultRowHeight="14.25" zeroHeight="false" outlineLevelRow="0" outlineLevelCol="0"/>
  <sheetData>
    <row r="1" customFormat="false" ht="14.25" hidden="false" customHeight="true" outlineLevel="0" collapsed="false">
      <c r="A1" s="1" t="s">
        <v>3</v>
      </c>
      <c r="B1" s="1" t="s">
        <v>68</v>
      </c>
      <c r="C1" s="1" t="s">
        <v>69</v>
      </c>
    </row>
    <row r="2" customFormat="false" ht="14.25" hidden="false" customHeight="true" outlineLevel="0" collapsed="false">
      <c r="A2" s="1" t="s">
        <v>9</v>
      </c>
      <c r="B2" s="1" t="s">
        <v>70</v>
      </c>
      <c r="C2" s="1" t="s">
        <v>70</v>
      </c>
    </row>
    <row r="3" customFormat="false" ht="14.25" hidden="false" customHeight="true" outlineLevel="0" collapsed="false">
      <c r="A3" s="1" t="s">
        <v>71</v>
      </c>
      <c r="B3" s="1" t="s">
        <v>72</v>
      </c>
      <c r="C3" s="1" t="s">
        <v>72</v>
      </c>
    </row>
    <row r="4" customFormat="false" ht="14.25" hidden="false" customHeight="true" outlineLevel="0" collapsed="false">
      <c r="A4" s="1" t="s">
        <v>73</v>
      </c>
      <c r="B4" s="1" t="s">
        <v>74</v>
      </c>
      <c r="C4" s="1" t="s">
        <v>75</v>
      </c>
    </row>
    <row r="5" customFormat="false" ht="14.25" hidden="false" customHeight="true" outlineLevel="0" collapsed="false">
      <c r="A5" s="1" t="s">
        <v>23</v>
      </c>
      <c r="B5" s="1" t="s">
        <v>76</v>
      </c>
      <c r="C5" s="1" t="s">
        <v>74</v>
      </c>
    </row>
    <row r="6" customFormat="false" ht="14.25" hidden="false" customHeight="true" outlineLevel="0" collapsed="false">
      <c r="A6" s="1" t="s">
        <v>14</v>
      </c>
      <c r="B6" s="1" t="s">
        <v>77</v>
      </c>
      <c r="C6" s="1" t="s">
        <v>76</v>
      </c>
    </row>
    <row r="7" customFormat="false" ht="14.25" hidden="false" customHeight="true" outlineLevel="0" collapsed="false">
      <c r="A7" s="1" t="s">
        <v>78</v>
      </c>
      <c r="B7" s="1" t="s">
        <v>79</v>
      </c>
      <c r="C7" s="1" t="s">
        <v>77</v>
      </c>
    </row>
    <row r="8" customFormat="false" ht="14.25" hidden="false" customHeight="true" outlineLevel="0" collapsed="false">
      <c r="A8" s="1" t="s">
        <v>16</v>
      </c>
      <c r="B8" s="1" t="s">
        <v>80</v>
      </c>
      <c r="C8" s="1" t="s">
        <v>79</v>
      </c>
    </row>
    <row r="9" customFormat="false" ht="14.25" hidden="false" customHeight="true" outlineLevel="0" collapsed="false">
      <c r="A9" s="1" t="s">
        <v>18</v>
      </c>
      <c r="B9" s="1" t="s">
        <v>81</v>
      </c>
      <c r="C9" s="1" t="s">
        <v>82</v>
      </c>
    </row>
    <row r="10" customFormat="false" ht="14.25" hidden="false" customHeight="true" outlineLevel="0" collapsed="false">
      <c r="A10" s="1" t="s">
        <v>20</v>
      </c>
      <c r="B10" s="1" t="s">
        <v>83</v>
      </c>
      <c r="C10" s="1" t="s">
        <v>84</v>
      </c>
    </row>
    <row r="11" customFormat="false" ht="14.25" hidden="false" customHeight="true" outlineLevel="0" collapsed="false">
      <c r="A11" s="1" t="s">
        <v>21</v>
      </c>
      <c r="B11" s="1" t="s">
        <v>85</v>
      </c>
      <c r="C11" s="1" t="s">
        <v>86</v>
      </c>
    </row>
    <row r="12" customFormat="false" ht="14.25" hidden="false" customHeight="true" outlineLevel="0" collapsed="false">
      <c r="A12" s="1" t="s">
        <v>22</v>
      </c>
      <c r="B12" s="1" t="s">
        <v>87</v>
      </c>
      <c r="C12" s="1" t="s">
        <v>80</v>
      </c>
    </row>
    <row r="13" customFormat="false" ht="14.25" hidden="false" customHeight="true" outlineLevel="0" collapsed="false">
      <c r="A13" s="1" t="s">
        <v>88</v>
      </c>
      <c r="B13" s="1" t="s">
        <v>89</v>
      </c>
      <c r="C13" s="1" t="s">
        <v>81</v>
      </c>
    </row>
    <row r="14" customFormat="false" ht="14.25" hidden="false" customHeight="true" outlineLevel="0" collapsed="false">
      <c r="A14" s="1" t="s">
        <v>90</v>
      </c>
      <c r="B14" s="1" t="s">
        <v>91</v>
      </c>
      <c r="C14" s="1" t="s">
        <v>83</v>
      </c>
    </row>
    <row r="15" customFormat="false" ht="14.25" hidden="false" customHeight="true" outlineLevel="0" collapsed="false">
      <c r="A15" s="1" t="s">
        <v>92</v>
      </c>
      <c r="B15" s="1" t="s">
        <v>48</v>
      </c>
      <c r="C15" s="1" t="s">
        <v>87</v>
      </c>
    </row>
    <row r="16" customFormat="false" ht="14.25" hidden="false" customHeight="true" outlineLevel="0" collapsed="false">
      <c r="A16" s="1" t="s">
        <v>93</v>
      </c>
      <c r="B16" s="1" t="s">
        <v>45</v>
      </c>
      <c r="C16" s="1" t="s">
        <v>89</v>
      </c>
    </row>
    <row r="17" customFormat="false" ht="14.25" hidden="false" customHeight="true" outlineLevel="0" collapsed="false">
      <c r="A17" s="1" t="s">
        <v>28</v>
      </c>
      <c r="B17" s="1" t="s">
        <v>94</v>
      </c>
      <c r="C17" s="1" t="s">
        <v>91</v>
      </c>
    </row>
    <row r="18" customFormat="false" ht="14.25" hidden="false" customHeight="true" outlineLevel="0" collapsed="false">
      <c r="A18" s="1" t="s">
        <v>95</v>
      </c>
      <c r="B18" s="1" t="s">
        <v>96</v>
      </c>
      <c r="C18" s="1" t="s">
        <v>48</v>
      </c>
    </row>
    <row r="19" customFormat="false" ht="14.25" hidden="false" customHeight="true" outlineLevel="0" collapsed="false">
      <c r="A19" s="1" t="s">
        <v>97</v>
      </c>
      <c r="B19" s="1" t="s">
        <v>98</v>
      </c>
      <c r="C19" s="1" t="s">
        <v>45</v>
      </c>
    </row>
    <row r="20" customFormat="false" ht="14.25" hidden="false" customHeight="true" outlineLevel="0" collapsed="false">
      <c r="A20" s="1" t="s">
        <v>99</v>
      </c>
      <c r="B20" s="1" t="s">
        <v>100</v>
      </c>
      <c r="C20" s="1" t="s">
        <v>101</v>
      </c>
    </row>
    <row r="21" customFormat="false" ht="14.25" hidden="false" customHeight="true" outlineLevel="0" collapsed="false">
      <c r="A21" s="1" t="s">
        <v>11</v>
      </c>
      <c r="B21" s="1" t="s">
        <v>102</v>
      </c>
      <c r="C21" s="1" t="s">
        <v>94</v>
      </c>
    </row>
    <row r="22" customFormat="false" ht="14.25" hidden="false" customHeight="true" outlineLevel="0" collapsed="false">
      <c r="A22" s="1" t="s">
        <v>103</v>
      </c>
      <c r="B22" s="1" t="s">
        <v>104</v>
      </c>
      <c r="C22" s="1" t="s">
        <v>105</v>
      </c>
    </row>
    <row r="23" customFormat="false" ht="14.25" hidden="false" customHeight="true" outlineLevel="0" collapsed="false">
      <c r="A23" s="1" t="s">
        <v>13</v>
      </c>
      <c r="B23" s="1" t="s">
        <v>106</v>
      </c>
      <c r="C23" s="1" t="s">
        <v>96</v>
      </c>
    </row>
    <row r="24" customFormat="false" ht="14.25" hidden="false" customHeight="true" outlineLevel="0" collapsed="false">
      <c r="A24" s="1" t="s">
        <v>107</v>
      </c>
      <c r="B24" s="1" t="s">
        <v>108</v>
      </c>
      <c r="C24" s="1" t="s">
        <v>98</v>
      </c>
    </row>
    <row r="25" customFormat="false" ht="14.25" hidden="false" customHeight="true" outlineLevel="0" collapsed="false">
      <c r="A25" s="1" t="s">
        <v>52</v>
      </c>
      <c r="B25" s="1" t="s">
        <v>60</v>
      </c>
      <c r="C25" s="1" t="s">
        <v>100</v>
      </c>
    </row>
    <row r="26" customFormat="false" ht="14.25" hidden="false" customHeight="true" outlineLevel="0" collapsed="false">
      <c r="A26" s="1" t="s">
        <v>109</v>
      </c>
      <c r="B26" s="1" t="s">
        <v>110</v>
      </c>
      <c r="C26" s="1" t="s">
        <v>102</v>
      </c>
    </row>
    <row r="27" customFormat="false" ht="14.25" hidden="false" customHeight="true" outlineLevel="0" collapsed="false">
      <c r="A27" s="1" t="s">
        <v>111</v>
      </c>
      <c r="B27" s="1" t="s">
        <v>112</v>
      </c>
      <c r="C27" s="1" t="s">
        <v>104</v>
      </c>
    </row>
    <row r="28" customFormat="false" ht="14.25" hidden="false" customHeight="true" outlineLevel="0" collapsed="false">
      <c r="A28" s="1" t="s">
        <v>113</v>
      </c>
      <c r="B28" s="1" t="s">
        <v>114</v>
      </c>
      <c r="C28" s="1" t="s">
        <v>108</v>
      </c>
    </row>
    <row r="29" customFormat="false" ht="14.25" hidden="false" customHeight="true" outlineLevel="0" collapsed="false">
      <c r="A29" s="1" t="s">
        <v>115</v>
      </c>
      <c r="B29" s="1" t="s">
        <v>116</v>
      </c>
      <c r="C29" s="1" t="s">
        <v>60</v>
      </c>
    </row>
    <row r="30" customFormat="false" ht="14.25" hidden="false" customHeight="true" outlineLevel="0" collapsed="false">
      <c r="A30" s="1" t="s">
        <v>117</v>
      </c>
      <c r="B30" s="1" t="s">
        <v>118</v>
      </c>
      <c r="C30" s="1" t="s">
        <v>110</v>
      </c>
    </row>
    <row r="31" customFormat="false" ht="14.25" hidden="false" customHeight="true" outlineLevel="0" collapsed="false">
      <c r="A31" s="1" t="s">
        <v>119</v>
      </c>
      <c r="B31" s="1" t="s">
        <v>120</v>
      </c>
      <c r="C31" s="1" t="s">
        <v>112</v>
      </c>
    </row>
    <row r="32" customFormat="false" ht="14.25" hidden="false" customHeight="true" outlineLevel="0" collapsed="false">
      <c r="A32" s="1" t="s">
        <v>121</v>
      </c>
      <c r="B32" s="1" t="s">
        <v>122</v>
      </c>
      <c r="C32" s="1" t="s">
        <v>114</v>
      </c>
    </row>
    <row r="33" customFormat="false" ht="14.25" hidden="false" customHeight="true" outlineLevel="0" collapsed="false">
      <c r="A33" s="1" t="s">
        <v>7</v>
      </c>
      <c r="B33" s="1" t="s">
        <v>123</v>
      </c>
      <c r="C33" s="1" t="s">
        <v>116</v>
      </c>
    </row>
    <row r="34" customFormat="false" ht="14.25" hidden="false" customHeight="true" outlineLevel="0" collapsed="false">
      <c r="A34" s="1" t="s">
        <v>33</v>
      </c>
      <c r="B34" s="1" t="s">
        <v>124</v>
      </c>
      <c r="C34" s="1" t="s">
        <v>118</v>
      </c>
    </row>
    <row r="35" customFormat="false" ht="14.25" hidden="false" customHeight="true" outlineLevel="0" collapsed="false">
      <c r="A35" s="1" t="s">
        <v>125</v>
      </c>
      <c r="B35" s="1" t="s">
        <v>126</v>
      </c>
      <c r="C35" s="1" t="s">
        <v>120</v>
      </c>
    </row>
    <row r="36" customFormat="false" ht="14.25" hidden="false" customHeight="true" outlineLevel="0" collapsed="false">
      <c r="A36" s="1" t="s">
        <v>127</v>
      </c>
      <c r="B36" s="1" t="s">
        <v>128</v>
      </c>
      <c r="C36" s="1" t="s">
        <v>122</v>
      </c>
    </row>
    <row r="37" customFormat="false" ht="14.25" hidden="false" customHeight="true" outlineLevel="0" collapsed="false">
      <c r="A37" s="1" t="s">
        <v>39</v>
      </c>
      <c r="B37" s="1" t="s">
        <v>129</v>
      </c>
      <c r="C37" s="1" t="s">
        <v>123</v>
      </c>
    </row>
    <row r="38" customFormat="false" ht="14.25" hidden="false" customHeight="true" outlineLevel="0" collapsed="false">
      <c r="A38" s="1" t="s">
        <v>25</v>
      </c>
      <c r="B38" s="1" t="s">
        <v>130</v>
      </c>
      <c r="C38" s="1" t="s">
        <v>124</v>
      </c>
    </row>
    <row r="39" customFormat="false" ht="14.25" hidden="false" customHeight="true" outlineLevel="0" collapsed="false">
      <c r="A39" s="1" t="s">
        <v>131</v>
      </c>
      <c r="B39" s="1" t="s">
        <v>132</v>
      </c>
      <c r="C39" s="1" t="s">
        <v>126</v>
      </c>
    </row>
    <row r="40" customFormat="false" ht="14.25" hidden="false" customHeight="true" outlineLevel="0" collapsed="false">
      <c r="A40" s="1" t="s">
        <v>133</v>
      </c>
      <c r="B40" s="1" t="s">
        <v>134</v>
      </c>
      <c r="C40" s="1" t="s">
        <v>128</v>
      </c>
    </row>
    <row r="41" customFormat="false" ht="14.25" hidden="false" customHeight="true" outlineLevel="0" collapsed="false">
      <c r="A41" s="1" t="s">
        <v>135</v>
      </c>
      <c r="B41" s="1" t="s">
        <v>136</v>
      </c>
      <c r="C41" s="1" t="s">
        <v>129</v>
      </c>
    </row>
    <row r="42" customFormat="false" ht="14.25" hidden="false" customHeight="true" outlineLevel="0" collapsed="false">
      <c r="A42" s="1" t="s">
        <v>137</v>
      </c>
      <c r="B42" s="1" t="s">
        <v>138</v>
      </c>
      <c r="C42" s="1" t="s">
        <v>130</v>
      </c>
    </row>
    <row r="43" customFormat="false" ht="14.25" hidden="false" customHeight="true" outlineLevel="0" collapsed="false">
      <c r="A43" s="1" t="s">
        <v>139</v>
      </c>
      <c r="B43" s="1" t="s">
        <v>140</v>
      </c>
      <c r="C43" s="1" t="s">
        <v>132</v>
      </c>
    </row>
    <row r="44" customFormat="false" ht="14.25" hidden="false" customHeight="true" outlineLevel="0" collapsed="false">
      <c r="A44" s="1" t="s">
        <v>141</v>
      </c>
      <c r="B44" s="1" t="s">
        <v>142</v>
      </c>
      <c r="C44" s="1" t="s">
        <v>131</v>
      </c>
    </row>
    <row r="45" customFormat="false" ht="14.25" hidden="false" customHeight="true" outlineLevel="0" collapsed="false">
      <c r="A45" s="1" t="s">
        <v>143</v>
      </c>
      <c r="B45" s="1" t="s">
        <v>144</v>
      </c>
      <c r="C45" s="1" t="s">
        <v>145</v>
      </c>
    </row>
    <row r="46" customFormat="false" ht="14.25" hidden="false" customHeight="true" outlineLevel="0" collapsed="false">
      <c r="A46" s="1" t="s">
        <v>146</v>
      </c>
      <c r="B46" s="1" t="s">
        <v>147</v>
      </c>
      <c r="C46" s="1" t="s">
        <v>136</v>
      </c>
    </row>
    <row r="47" customFormat="false" ht="14.25" hidden="false" customHeight="true" outlineLevel="0" collapsed="false">
      <c r="A47" s="1" t="s">
        <v>148</v>
      </c>
      <c r="B47" s="1" t="s">
        <v>149</v>
      </c>
      <c r="C47" s="1" t="s">
        <v>138</v>
      </c>
    </row>
    <row r="48" customFormat="false" ht="14.25" hidden="false" customHeight="true" outlineLevel="0" collapsed="false">
      <c r="A48" s="1" t="s">
        <v>150</v>
      </c>
      <c r="B48" s="1" t="s">
        <v>151</v>
      </c>
      <c r="C48" s="1" t="s">
        <v>140</v>
      </c>
    </row>
    <row r="49" customFormat="false" ht="14.25" hidden="false" customHeight="true" outlineLevel="0" collapsed="false">
      <c r="A49" s="1" t="s">
        <v>152</v>
      </c>
      <c r="B49" s="1" t="s">
        <v>54</v>
      </c>
      <c r="C49" s="1" t="s">
        <v>142</v>
      </c>
    </row>
    <row r="50" customFormat="false" ht="14.25" hidden="false" customHeight="true" outlineLevel="0" collapsed="false">
      <c r="A50" s="1" t="s">
        <v>153</v>
      </c>
      <c r="B50" s="1" t="s">
        <v>41</v>
      </c>
      <c r="C50" s="1" t="s">
        <v>144</v>
      </c>
    </row>
    <row r="51" customFormat="false" ht="14.25" hidden="false" customHeight="true" outlineLevel="0" collapsed="false">
      <c r="B51" s="1" t="s">
        <v>154</v>
      </c>
      <c r="C51" s="1" t="s">
        <v>147</v>
      </c>
    </row>
    <row r="52" customFormat="false" ht="14.25" hidden="false" customHeight="true" outlineLevel="0" collapsed="false">
      <c r="B52" s="1" t="s">
        <v>155</v>
      </c>
      <c r="C52" s="1" t="s">
        <v>156</v>
      </c>
    </row>
    <row r="53" customFormat="false" ht="14.25" hidden="false" customHeight="true" outlineLevel="0" collapsed="false">
      <c r="B53" s="1" t="s">
        <v>157</v>
      </c>
      <c r="C53" s="1" t="s">
        <v>158</v>
      </c>
    </row>
    <row r="54" customFormat="false" ht="14.25" hidden="false" customHeight="true" outlineLevel="0" collapsed="false">
      <c r="B54" s="1" t="s">
        <v>159</v>
      </c>
      <c r="C54" s="1" t="s">
        <v>149</v>
      </c>
    </row>
    <row r="55" customFormat="false" ht="14.25" hidden="false" customHeight="true" outlineLevel="0" collapsed="false">
      <c r="B55" s="1" t="s">
        <v>31</v>
      </c>
      <c r="C55" s="1" t="s">
        <v>151</v>
      </c>
    </row>
    <row r="56" customFormat="false" ht="14.25" hidden="false" customHeight="true" outlineLevel="0" collapsed="false">
      <c r="B56" s="1" t="s">
        <v>63</v>
      </c>
      <c r="C56" s="1" t="s">
        <v>160</v>
      </c>
    </row>
    <row r="57" customFormat="false" ht="14.25" hidden="false" customHeight="true" outlineLevel="0" collapsed="false">
      <c r="B57" s="1" t="s">
        <v>161</v>
      </c>
      <c r="C57" s="1" t="s">
        <v>54</v>
      </c>
    </row>
    <row r="58" customFormat="false" ht="14.25" hidden="false" customHeight="true" outlineLevel="0" collapsed="false">
      <c r="B58" s="1" t="s">
        <v>162</v>
      </c>
      <c r="C58" s="1" t="s">
        <v>41</v>
      </c>
    </row>
    <row r="59" customFormat="false" ht="14.25" hidden="false" customHeight="true" outlineLevel="0" collapsed="false">
      <c r="B59" s="1" t="s">
        <v>163</v>
      </c>
      <c r="C59" s="1" t="s">
        <v>154</v>
      </c>
    </row>
    <row r="60" customFormat="false" ht="14.25" hidden="false" customHeight="true" outlineLevel="0" collapsed="false">
      <c r="B60" s="1" t="s">
        <v>164</v>
      </c>
      <c r="C60" s="1" t="s">
        <v>155</v>
      </c>
    </row>
    <row r="61" customFormat="false" ht="14.25" hidden="false" customHeight="true" outlineLevel="0" collapsed="false">
      <c r="B61" s="1" t="s">
        <v>165</v>
      </c>
      <c r="C61" s="1" t="s">
        <v>157</v>
      </c>
    </row>
    <row r="62" customFormat="false" ht="14.25" hidden="false" customHeight="true" outlineLevel="0" collapsed="false">
      <c r="B62" s="1" t="s">
        <v>166</v>
      </c>
      <c r="C62" s="1" t="s">
        <v>159</v>
      </c>
    </row>
    <row r="63" customFormat="false" ht="14.25" hidden="false" customHeight="true" outlineLevel="0" collapsed="false">
      <c r="B63" s="1" t="s">
        <v>167</v>
      </c>
      <c r="C63" s="1" t="s">
        <v>31</v>
      </c>
    </row>
    <row r="64" customFormat="false" ht="14.25" hidden="false" customHeight="true" outlineLevel="0" collapsed="false">
      <c r="B64" s="1" t="s">
        <v>168</v>
      </c>
      <c r="C64" s="1" t="s">
        <v>63</v>
      </c>
    </row>
    <row r="65" customFormat="false" ht="14.25" hidden="false" customHeight="true" outlineLevel="0" collapsed="false">
      <c r="B65" s="1" t="s">
        <v>169</v>
      </c>
      <c r="C65" s="1" t="s">
        <v>161</v>
      </c>
    </row>
    <row r="66" customFormat="false" ht="14.25" hidden="false" customHeight="true" outlineLevel="0" collapsed="false">
      <c r="B66" s="1" t="s">
        <v>170</v>
      </c>
      <c r="C66" s="1" t="s">
        <v>163</v>
      </c>
    </row>
    <row r="67" customFormat="false" ht="14.25" hidden="false" customHeight="true" outlineLevel="0" collapsed="false">
      <c r="B67" s="1" t="s">
        <v>171</v>
      </c>
      <c r="C67" s="1" t="s">
        <v>164</v>
      </c>
    </row>
    <row r="68" customFormat="false" ht="14.25" hidden="false" customHeight="true" outlineLevel="0" collapsed="false">
      <c r="B68" s="1" t="s">
        <v>172</v>
      </c>
      <c r="C68" s="1" t="s">
        <v>165</v>
      </c>
    </row>
    <row r="69" customFormat="false" ht="14.25" hidden="false" customHeight="true" outlineLevel="0" collapsed="false">
      <c r="B69" s="1" t="s">
        <v>173</v>
      </c>
      <c r="C69" s="1" t="s">
        <v>166</v>
      </c>
    </row>
    <row r="70" customFormat="false" ht="14.25" hidden="false" customHeight="true" outlineLevel="0" collapsed="false">
      <c r="B70" s="1" t="s">
        <v>174</v>
      </c>
      <c r="C70" s="1" t="s">
        <v>167</v>
      </c>
    </row>
    <row r="71" customFormat="false" ht="14.25" hidden="false" customHeight="true" outlineLevel="0" collapsed="false">
      <c r="B71" s="1" t="s">
        <v>34</v>
      </c>
      <c r="C71" s="1" t="s">
        <v>168</v>
      </c>
    </row>
    <row r="72" customFormat="false" ht="14.25" hidden="false" customHeight="true" outlineLevel="0" collapsed="false">
      <c r="B72" s="1" t="s">
        <v>37</v>
      </c>
      <c r="C72" s="1" t="s">
        <v>169</v>
      </c>
    </row>
    <row r="73" customFormat="false" ht="14.25" hidden="false" customHeight="true" outlineLevel="0" collapsed="false">
      <c r="B73" s="1" t="s">
        <v>175</v>
      </c>
      <c r="C73" s="1" t="s">
        <v>176</v>
      </c>
    </row>
    <row r="74" customFormat="false" ht="14.25" hidden="false" customHeight="true" outlineLevel="0" collapsed="false">
      <c r="B74" s="1" t="s">
        <v>43</v>
      </c>
      <c r="C74" s="1" t="s">
        <v>170</v>
      </c>
    </row>
    <row r="75" customFormat="false" ht="14.25" hidden="false" customHeight="true" outlineLevel="0" collapsed="false">
      <c r="B75" s="1" t="s">
        <v>177</v>
      </c>
      <c r="C75" s="1" t="s">
        <v>171</v>
      </c>
    </row>
    <row r="76" customFormat="false" ht="14.25" hidden="false" customHeight="true" outlineLevel="0" collapsed="false">
      <c r="B76" s="1" t="s">
        <v>178</v>
      </c>
      <c r="C76" s="1" t="s">
        <v>173</v>
      </c>
    </row>
    <row r="77" customFormat="false" ht="14.25" hidden="false" customHeight="true" outlineLevel="0" collapsed="false">
      <c r="B77" s="1" t="s">
        <v>179</v>
      </c>
      <c r="C77" s="1" t="s">
        <v>174</v>
      </c>
    </row>
    <row r="78" customFormat="false" ht="14.25" hidden="false" customHeight="true" outlineLevel="0" collapsed="false">
      <c r="B78" s="1" t="s">
        <v>180</v>
      </c>
      <c r="C78" s="1" t="s">
        <v>34</v>
      </c>
    </row>
    <row r="79" customFormat="false" ht="14.25" hidden="false" customHeight="true" outlineLevel="0" collapsed="false">
      <c r="B79" s="1" t="s">
        <v>181</v>
      </c>
      <c r="C79" s="1" t="s">
        <v>50</v>
      </c>
    </row>
    <row r="80" customFormat="false" ht="14.25" hidden="false" customHeight="true" outlineLevel="0" collapsed="false">
      <c r="B80" s="1" t="s">
        <v>182</v>
      </c>
      <c r="C80" s="1" t="s">
        <v>183</v>
      </c>
    </row>
    <row r="81" customFormat="false" ht="14.25" hidden="false" customHeight="true" outlineLevel="0" collapsed="false">
      <c r="B81" s="1"/>
      <c r="C81" s="1" t="s">
        <v>37</v>
      </c>
    </row>
    <row r="82" customFormat="false" ht="14.25" hidden="false" customHeight="true" outlineLevel="0" collapsed="false">
      <c r="B82" s="1"/>
      <c r="C82" s="1" t="s">
        <v>175</v>
      </c>
    </row>
    <row r="83" customFormat="false" ht="14.25" hidden="false" customHeight="true" outlineLevel="0" collapsed="false">
      <c r="B83" s="1"/>
      <c r="C83" s="1" t="s">
        <v>43</v>
      </c>
    </row>
    <row r="84" customFormat="false" ht="14.25" hidden="false" customHeight="true" outlineLevel="0" collapsed="false">
      <c r="B84" s="1"/>
      <c r="C84" s="1" t="s">
        <v>177</v>
      </c>
    </row>
    <row r="85" customFormat="false" ht="14.25" hidden="false" customHeight="true" outlineLevel="0" collapsed="false">
      <c r="B85" s="1"/>
      <c r="C85" s="1" t="s">
        <v>178</v>
      </c>
    </row>
    <row r="86" customFormat="false" ht="14.25" hidden="false" customHeight="true" outlineLevel="0" collapsed="false">
      <c r="B86" s="1"/>
      <c r="C86" s="1" t="s">
        <v>179</v>
      </c>
    </row>
    <row r="87" customFormat="false" ht="14.25" hidden="false" customHeight="true" outlineLevel="0" collapsed="false">
      <c r="B87" s="1"/>
      <c r="C87" s="1" t="s">
        <v>180</v>
      </c>
    </row>
    <row r="88" customFormat="false" ht="14.25" hidden="false" customHeight="true" outlineLevel="0" collapsed="false">
      <c r="B88" s="1"/>
      <c r="C88" s="1" t="s">
        <v>181</v>
      </c>
    </row>
    <row r="89" customFormat="false" ht="14.25" hidden="false" customHeight="true" outlineLevel="0" collapsed="false">
      <c r="B89" s="1"/>
      <c r="C89" s="1" t="s">
        <v>182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 &amp;Kffffff&amp;A</oddHeader>
    <oddFooter>&amp;C&amp;"PT Sans,Обычный"&amp;12 &amp;KffffffСтраница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24609375" defaultRowHeight="14.25" zeroHeight="false" outlineLevelRow="0" outlineLevelCol="0"/>
  <cols>
    <col collapsed="false" customWidth="true" hidden="false" outlineLevel="0" max="1" min="1" style="1" width="43.41"/>
    <col collapsed="false" customWidth="true" hidden="false" outlineLevel="0" max="4" min="2" style="1" width="48.5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3"/>
      <c r="E1" s="1"/>
      <c r="F1" s="1"/>
    </row>
    <row r="2" customFormat="false" ht="15" hidden="false" customHeight="true" outlineLevel="0" collapsed="false">
      <c r="A2" s="4" t="s">
        <v>3</v>
      </c>
      <c r="B2" s="5" t="s">
        <v>4</v>
      </c>
      <c r="C2" s="5"/>
      <c r="D2" s="5"/>
    </row>
    <row r="3" customFormat="false" ht="15" hidden="false" customHeight="true" outlineLevel="0" collapsed="false">
      <c r="A3" s="4" t="s">
        <v>5</v>
      </c>
      <c r="B3" s="6" t="s">
        <v>6</v>
      </c>
      <c r="C3" s="7"/>
      <c r="D3" s="7"/>
    </row>
    <row r="4" customFormat="false" ht="15" hidden="false" customHeight="true" outlineLevel="0" collapsed="false">
      <c r="A4" s="4" t="s">
        <v>7</v>
      </c>
      <c r="B4" s="7" t="s">
        <v>8</v>
      </c>
      <c r="C4" s="7"/>
      <c r="D4" s="7"/>
    </row>
    <row r="5" customFormat="false" ht="43.5" hidden="false" customHeight="true" outlineLevel="0" collapsed="false">
      <c r="A5" s="4" t="s">
        <v>9</v>
      </c>
      <c r="B5" s="7" t="s">
        <v>10</v>
      </c>
      <c r="C5" s="7"/>
      <c r="D5" s="7"/>
    </row>
    <row r="6" customFormat="false" ht="15" hidden="false" customHeight="true" outlineLevel="0" collapsed="false">
      <c r="A6" s="4" t="s">
        <v>71</v>
      </c>
      <c r="B6" s="7"/>
      <c r="C6" s="7"/>
      <c r="D6" s="7"/>
    </row>
    <row r="7" customFormat="false" ht="15" hidden="false" customHeight="true" outlineLevel="0" collapsed="false">
      <c r="A7" s="4" t="s">
        <v>11</v>
      </c>
      <c r="B7" s="7" t="s">
        <v>12</v>
      </c>
      <c r="C7" s="7"/>
      <c r="D7" s="7"/>
    </row>
    <row r="8" customFormat="false" ht="15" hidden="false" customHeight="true" outlineLevel="0" collapsed="false">
      <c r="A8" s="4" t="s">
        <v>13</v>
      </c>
      <c r="B8" s="7" t="s">
        <v>12</v>
      </c>
      <c r="C8" s="7"/>
      <c r="D8" s="7"/>
    </row>
    <row r="9" customFormat="false" ht="15" hidden="false" customHeight="true" outlineLevel="0" collapsed="false">
      <c r="A9" s="4" t="s">
        <v>28</v>
      </c>
      <c r="B9" s="7" t="s">
        <v>12</v>
      </c>
      <c r="C9" s="7"/>
      <c r="D9" s="7"/>
    </row>
    <row r="10" customFormat="false" ht="15" hidden="false" customHeight="true" outlineLevel="0" collapsed="false">
      <c r="A10" s="4" t="s">
        <v>14</v>
      </c>
      <c r="B10" s="7" t="s">
        <v>184</v>
      </c>
      <c r="C10" s="7"/>
      <c r="D10" s="7"/>
    </row>
    <row r="11" customFormat="false" ht="15" hidden="false" customHeight="true" outlineLevel="0" collapsed="false">
      <c r="A11" s="4" t="s">
        <v>52</v>
      </c>
      <c r="B11" s="7" t="s">
        <v>185</v>
      </c>
      <c r="C11" s="7"/>
      <c r="D11" s="7"/>
    </row>
    <row r="12" customFormat="false" ht="15" hidden="false" customHeight="true" outlineLevel="0" collapsed="false">
      <c r="A12" s="4" t="s">
        <v>16</v>
      </c>
      <c r="B12" s="6" t="s">
        <v>17</v>
      </c>
      <c r="C12" s="6"/>
      <c r="D12" s="7"/>
    </row>
    <row r="13" customFormat="false" ht="15" hidden="false" customHeight="true" outlineLevel="0" collapsed="false">
      <c r="A13" s="4" t="s">
        <v>18</v>
      </c>
      <c r="B13" s="6" t="s">
        <v>19</v>
      </c>
      <c r="C13" s="6"/>
      <c r="D13" s="7"/>
    </row>
    <row r="14" customFormat="false" ht="15" hidden="false" customHeight="true" outlineLevel="0" collapsed="false">
      <c r="A14" s="4" t="s">
        <v>20</v>
      </c>
      <c r="B14" s="7"/>
      <c r="C14" s="7"/>
      <c r="D14" s="7"/>
    </row>
    <row r="15" customFormat="false" ht="15" hidden="false" customHeight="true" outlineLevel="0" collapsed="false">
      <c r="A15" s="4" t="s">
        <v>21</v>
      </c>
      <c r="B15" s="7"/>
      <c r="C15" s="7"/>
      <c r="D15" s="7"/>
    </row>
    <row r="16" customFormat="false" ht="15" hidden="false" customHeight="true" outlineLevel="0" collapsed="false">
      <c r="A16" s="4" t="s">
        <v>22</v>
      </c>
      <c r="B16" s="6" t="s">
        <v>19</v>
      </c>
      <c r="C16" s="6"/>
      <c r="D16" s="7"/>
    </row>
    <row r="17" customFormat="false" ht="16.5" hidden="false" customHeight="true" outlineLevel="0" collapsed="false">
      <c r="A17" s="4" t="s">
        <v>23</v>
      </c>
      <c r="B17" s="7" t="s">
        <v>24</v>
      </c>
      <c r="C17" s="7"/>
      <c r="D17" s="7"/>
    </row>
    <row r="18" customFormat="false" ht="29.25" hidden="false" customHeight="true" outlineLevel="0" collapsed="false">
      <c r="A18" s="10" t="s">
        <v>39</v>
      </c>
      <c r="B18" s="11" t="s">
        <v>50</v>
      </c>
      <c r="C18" s="11" t="s">
        <v>186</v>
      </c>
      <c r="D18" s="11"/>
      <c r="E18" s="11"/>
      <c r="F18" s="11"/>
    </row>
  </sheetData>
  <mergeCells count="1">
    <mergeCell ref="B2:D2"/>
  </mergeCells>
  <dataValidations count="7">
    <dataValidation allowBlank="true" errorStyle="stop" operator="equal" showDropDown="false" showErrorMessage="false" showInputMessage="false" sqref="A2:A17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7:B9" type="list">
      <formula1>"Да,Нет"</formula1>
      <formula2>0</formula2>
    </dataValidation>
    <dataValidation allowBlank="true" errorStyle="stop" operator="equal" showDropDown="false" showErrorMessage="false" showInputMessage="false" sqref="B17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17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A1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18" type="list">
      <formula1>_Визард_Списки!$B$1:$B$89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 &amp;Kffffff&amp;A</oddHeader>
    <oddFooter>&amp;C&amp;"PT Sans,Обычный"&amp;12 &amp;KffffffСтраница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24609375" defaultRowHeight="15" zeroHeight="false" outlineLevelRow="0" outlineLevelCol="0"/>
  <cols>
    <col collapsed="false" customWidth="true" hidden="false" outlineLevel="0" max="1" min="1" style="12" width="17.55"/>
    <col collapsed="false" customWidth="true" hidden="false" outlineLevel="0" max="2" min="2" style="12" width="20.6"/>
    <col collapsed="false" customWidth="true" hidden="false" outlineLevel="0" max="3" min="3" style="12" width="17.69"/>
    <col collapsed="false" customWidth="true" hidden="false" outlineLevel="0" max="4" min="4" style="12" width="17.82"/>
    <col collapsed="false" customWidth="true" hidden="false" outlineLevel="0" max="5" min="5" style="12" width="18.79"/>
    <col collapsed="false" customWidth="true" hidden="false" outlineLevel="0" max="6" min="6" style="12" width="16.58"/>
    <col collapsed="false" customWidth="true" hidden="false" outlineLevel="0" max="7" min="7" style="12" width="11.43"/>
    <col collapsed="false" customWidth="true" hidden="false" outlineLevel="0" max="8" min="8" style="12" width="26.99"/>
    <col collapsed="false" customWidth="true" hidden="false" outlineLevel="0" max="9" min="9" style="12" width="7.41"/>
    <col collapsed="false" customWidth="true" hidden="false" outlineLevel="0" max="10" min="10" style="12" width="18.24"/>
    <col collapsed="false" customWidth="true" hidden="false" outlineLevel="0" max="11" min="11" style="12" width="40.05"/>
    <col collapsed="false" customWidth="true" hidden="false" outlineLevel="0" max="12" min="12" style="12" width="25.32"/>
    <col collapsed="false" customWidth="true" hidden="false" outlineLevel="0" max="13" min="13" style="12" width="27.96"/>
    <col collapsed="false" customWidth="false" hidden="false" outlineLevel="0" max="14" min="14" style="12" width="8.24"/>
  </cols>
  <sheetData>
    <row r="1" customFormat="false" ht="36" hidden="false" customHeight="true" outlineLevel="0" collapsed="false">
      <c r="A1" s="13" t="s">
        <v>187</v>
      </c>
      <c r="B1" s="13" t="s">
        <v>188</v>
      </c>
      <c r="C1" s="13" t="s">
        <v>189</v>
      </c>
      <c r="D1" s="13" t="s">
        <v>190</v>
      </c>
      <c r="E1" s="13" t="s">
        <v>191</v>
      </c>
      <c r="F1" s="13" t="s">
        <v>192</v>
      </c>
      <c r="G1" s="13" t="s">
        <v>193</v>
      </c>
      <c r="H1" s="13" t="s">
        <v>194</v>
      </c>
      <c r="I1" s="13" t="s">
        <v>195</v>
      </c>
      <c r="J1" s="13" t="s">
        <v>196</v>
      </c>
      <c r="K1" s="13" t="s">
        <v>197</v>
      </c>
      <c r="L1" s="13" t="s">
        <v>198</v>
      </c>
      <c r="M1" s="13" t="s">
        <v>199</v>
      </c>
      <c r="O1" s="1"/>
      <c r="P1" s="1"/>
      <c r="Q1" s="1"/>
      <c r="R1" s="1"/>
      <c r="S1" s="1"/>
      <c r="T1" s="1"/>
    </row>
    <row r="2" customFormat="false" ht="15" hidden="false" customHeight="false" outlineLevel="0" collapsed="false">
      <c r="A2" s="14" t="s">
        <v>200</v>
      </c>
      <c r="B2" s="14" t="s">
        <v>201</v>
      </c>
      <c r="C2" s="15" t="s">
        <v>202</v>
      </c>
      <c r="D2" s="14" t="n">
        <v>26.4</v>
      </c>
      <c r="E2" s="16" t="n">
        <v>45352</v>
      </c>
      <c r="F2" s="14" t="s">
        <v>203</v>
      </c>
      <c r="G2" s="14" t="s">
        <v>204</v>
      </c>
      <c r="H2" s="17" t="s">
        <v>205</v>
      </c>
      <c r="I2" s="17" t="n">
        <v>0</v>
      </c>
      <c r="J2" s="17" t="n">
        <v>0</v>
      </c>
      <c r="K2" s="17" t="n">
        <v>0</v>
      </c>
      <c r="L2" s="17" t="n">
        <v>0</v>
      </c>
      <c r="M2" s="18" t="n">
        <f aca="false">D2*I2*J2</f>
        <v>0</v>
      </c>
    </row>
    <row r="3" customFormat="false" ht="15" hidden="false" customHeight="false" outlineLevel="0" collapsed="false">
      <c r="A3" s="14" t="s">
        <v>200</v>
      </c>
      <c r="B3" s="14" t="s">
        <v>201</v>
      </c>
      <c r="C3" s="15" t="s">
        <v>202</v>
      </c>
      <c r="D3" s="14" t="n">
        <v>26.4</v>
      </c>
      <c r="E3" s="16" t="n">
        <v>45352</v>
      </c>
      <c r="F3" s="14" t="s">
        <v>203</v>
      </c>
      <c r="G3" s="14" t="s">
        <v>204</v>
      </c>
      <c r="H3" s="17" t="s">
        <v>206</v>
      </c>
      <c r="I3" s="17" t="n">
        <v>0</v>
      </c>
      <c r="J3" s="17" t="n">
        <v>0</v>
      </c>
      <c r="K3" s="17" t="n">
        <v>0</v>
      </c>
      <c r="L3" s="17" t="n">
        <v>0</v>
      </c>
      <c r="M3" s="18" t="n">
        <f aca="false">D3*I3*J3</f>
        <v>0</v>
      </c>
    </row>
    <row r="4" customFormat="false" ht="15" hidden="false" customHeight="false" outlineLevel="0" collapsed="false">
      <c r="A4" s="14" t="s">
        <v>200</v>
      </c>
      <c r="B4" s="14" t="s">
        <v>201</v>
      </c>
      <c r="C4" s="15" t="s">
        <v>202</v>
      </c>
      <c r="D4" s="14" t="n">
        <v>26.4</v>
      </c>
      <c r="E4" s="16" t="n">
        <v>45352</v>
      </c>
      <c r="F4" s="14" t="s">
        <v>203</v>
      </c>
      <c r="G4" s="14" t="s">
        <v>204</v>
      </c>
      <c r="H4" s="17" t="s">
        <v>207</v>
      </c>
      <c r="I4" s="17" t="n">
        <v>903</v>
      </c>
      <c r="J4" s="17" t="n">
        <v>1</v>
      </c>
      <c r="K4" s="17" t="s">
        <v>208</v>
      </c>
      <c r="L4" s="17" t="n">
        <v>25</v>
      </c>
      <c r="M4" s="18" t="n">
        <f aca="false">D4*I4*J4</f>
        <v>23839.2</v>
      </c>
    </row>
    <row r="5" customFormat="false" ht="15" hidden="false" customHeight="false" outlineLevel="0" collapsed="false">
      <c r="A5" s="14" t="s">
        <v>200</v>
      </c>
      <c r="B5" s="14" t="s">
        <v>201</v>
      </c>
      <c r="C5" s="15" t="s">
        <v>202</v>
      </c>
      <c r="D5" s="14" t="n">
        <v>26.4</v>
      </c>
      <c r="E5" s="16" t="n">
        <v>45352</v>
      </c>
      <c r="F5" s="14" t="s">
        <v>203</v>
      </c>
      <c r="G5" s="14" t="s">
        <v>204</v>
      </c>
      <c r="H5" s="17" t="s">
        <v>209</v>
      </c>
      <c r="I5" s="17" t="n">
        <v>923</v>
      </c>
      <c r="J5" s="17" t="n">
        <v>1.05</v>
      </c>
      <c r="K5" s="17" t="s">
        <v>208</v>
      </c>
      <c r="L5" s="17" t="n">
        <v>25</v>
      </c>
      <c r="M5" s="18" t="n">
        <f aca="false">D5*I5*J5</f>
        <v>25585.56</v>
      </c>
    </row>
    <row r="6" customFormat="false" ht="15" hidden="false" customHeight="false" outlineLevel="0" collapsed="false">
      <c r="A6" s="14" t="s">
        <v>200</v>
      </c>
      <c r="B6" s="14" t="s">
        <v>201</v>
      </c>
      <c r="C6" s="14" t="s">
        <v>210</v>
      </c>
      <c r="D6" s="14" t="n">
        <v>89</v>
      </c>
      <c r="E6" s="16" t="n">
        <v>45352</v>
      </c>
      <c r="F6" s="14" t="s">
        <v>203</v>
      </c>
      <c r="G6" s="14" t="s">
        <v>204</v>
      </c>
      <c r="H6" s="17" t="s">
        <v>205</v>
      </c>
      <c r="I6" s="17" t="n">
        <v>0</v>
      </c>
      <c r="J6" s="17" t="n">
        <v>0</v>
      </c>
      <c r="K6" s="17" t="n">
        <v>0</v>
      </c>
      <c r="L6" s="17" t="n">
        <v>0</v>
      </c>
      <c r="M6" s="18" t="n">
        <f aca="false">D6*I6*J6</f>
        <v>0</v>
      </c>
    </row>
    <row r="7" customFormat="false" ht="15" hidden="false" customHeight="false" outlineLevel="0" collapsed="false">
      <c r="A7" s="14" t="s">
        <v>200</v>
      </c>
      <c r="B7" s="14" t="s">
        <v>201</v>
      </c>
      <c r="C7" s="14" t="s">
        <v>210</v>
      </c>
      <c r="D7" s="14" t="n">
        <v>89</v>
      </c>
      <c r="E7" s="16" t="n">
        <v>45352</v>
      </c>
      <c r="F7" s="14" t="s">
        <v>203</v>
      </c>
      <c r="G7" s="14" t="s">
        <v>204</v>
      </c>
      <c r="H7" s="17" t="s">
        <v>206</v>
      </c>
      <c r="I7" s="17" t="n">
        <v>0</v>
      </c>
      <c r="J7" s="17" t="n">
        <v>0</v>
      </c>
      <c r="K7" s="17" t="n">
        <v>0</v>
      </c>
      <c r="L7" s="17" t="n">
        <v>0</v>
      </c>
      <c r="M7" s="18" t="n">
        <f aca="false">D7*I7*J7</f>
        <v>0</v>
      </c>
    </row>
    <row r="8" customFormat="false" ht="15" hidden="false" customHeight="false" outlineLevel="0" collapsed="false">
      <c r="A8" s="14" t="s">
        <v>200</v>
      </c>
      <c r="B8" s="14" t="s">
        <v>201</v>
      </c>
      <c r="C8" s="14" t="s">
        <v>210</v>
      </c>
      <c r="D8" s="14" t="n">
        <v>89</v>
      </c>
      <c r="E8" s="16" t="n">
        <v>45352</v>
      </c>
      <c r="F8" s="14" t="s">
        <v>203</v>
      </c>
      <c r="G8" s="14" t="s">
        <v>204</v>
      </c>
      <c r="H8" s="17" t="s">
        <v>207</v>
      </c>
      <c r="I8" s="17" t="n">
        <v>850</v>
      </c>
      <c r="J8" s="17" t="n">
        <v>1.05</v>
      </c>
      <c r="K8" s="17" t="s">
        <v>211</v>
      </c>
      <c r="L8" s="17" t="n">
        <v>21</v>
      </c>
      <c r="M8" s="18" t="n">
        <f aca="false">D8*I8*J8</f>
        <v>79432.5</v>
      </c>
    </row>
    <row r="9" customFormat="false" ht="15" hidden="false" customHeight="false" outlineLevel="0" collapsed="false">
      <c r="A9" s="14" t="s">
        <v>200</v>
      </c>
      <c r="B9" s="14" t="s">
        <v>201</v>
      </c>
      <c r="C9" s="14" t="s">
        <v>210</v>
      </c>
      <c r="D9" s="14" t="n">
        <v>89</v>
      </c>
      <c r="E9" s="16" t="n">
        <v>45352</v>
      </c>
      <c r="F9" s="14" t="s">
        <v>203</v>
      </c>
      <c r="G9" s="14" t="s">
        <v>204</v>
      </c>
      <c r="H9" s="17" t="s">
        <v>209</v>
      </c>
      <c r="I9" s="17" t="n">
        <v>0</v>
      </c>
      <c r="J9" s="17" t="n">
        <v>0</v>
      </c>
      <c r="K9" s="17" t="n">
        <v>0</v>
      </c>
      <c r="L9" s="17" t="n">
        <v>0</v>
      </c>
      <c r="M9" s="18" t="n">
        <f aca="false">D9*I9*J9</f>
        <v>0</v>
      </c>
    </row>
    <row r="10" customFormat="false" ht="15" hidden="false" customHeight="false" outlineLevel="0" collapsed="false">
      <c r="A10" s="14" t="s">
        <v>200</v>
      </c>
      <c r="B10" s="14" t="s">
        <v>201</v>
      </c>
      <c r="C10" s="14" t="s">
        <v>212</v>
      </c>
      <c r="D10" s="14" t="n">
        <v>29.5</v>
      </c>
      <c r="E10" s="16" t="n">
        <v>45352</v>
      </c>
      <c r="F10" s="14" t="s">
        <v>203</v>
      </c>
      <c r="G10" s="14" t="s">
        <v>204</v>
      </c>
      <c r="H10" s="17" t="s">
        <v>205</v>
      </c>
      <c r="I10" s="17" t="n">
        <v>216</v>
      </c>
      <c r="J10" s="17" t="n">
        <v>1.05</v>
      </c>
      <c r="K10" s="17" t="s">
        <v>213</v>
      </c>
      <c r="L10" s="17" t="n">
        <v>14</v>
      </c>
      <c r="M10" s="18" t="n">
        <f aca="false">D10*I10*J10</f>
        <v>6690.6</v>
      </c>
    </row>
    <row r="11" customFormat="false" ht="15" hidden="false" customHeight="false" outlineLevel="0" collapsed="false">
      <c r="A11" s="14" t="s">
        <v>200</v>
      </c>
      <c r="B11" s="14" t="s">
        <v>201</v>
      </c>
      <c r="C11" s="14" t="s">
        <v>212</v>
      </c>
      <c r="D11" s="14" t="n">
        <v>29.5</v>
      </c>
      <c r="E11" s="16" t="n">
        <v>45352</v>
      </c>
      <c r="F11" s="14" t="s">
        <v>203</v>
      </c>
      <c r="G11" s="14" t="s">
        <v>204</v>
      </c>
      <c r="H11" s="17" t="s">
        <v>206</v>
      </c>
      <c r="I11" s="17" t="n">
        <v>213</v>
      </c>
      <c r="J11" s="17" t="n">
        <v>1.1</v>
      </c>
      <c r="K11" s="17" t="s">
        <v>213</v>
      </c>
      <c r="L11" s="17" t="n">
        <v>18</v>
      </c>
      <c r="M11" s="18" t="n">
        <f aca="false">D11*I11*J11</f>
        <v>6911.85</v>
      </c>
    </row>
    <row r="12" customFormat="false" ht="15" hidden="false" customHeight="false" outlineLevel="0" collapsed="false">
      <c r="A12" s="14" t="s">
        <v>200</v>
      </c>
      <c r="B12" s="14" t="s">
        <v>201</v>
      </c>
      <c r="C12" s="14" t="s">
        <v>212</v>
      </c>
      <c r="D12" s="14" t="n">
        <v>29.5</v>
      </c>
      <c r="E12" s="16" t="n">
        <v>45352</v>
      </c>
      <c r="F12" s="14" t="s">
        <v>203</v>
      </c>
      <c r="G12" s="14" t="s">
        <v>204</v>
      </c>
      <c r="H12" s="17" t="s">
        <v>207</v>
      </c>
      <c r="I12" s="17" t="n">
        <v>0</v>
      </c>
      <c r="J12" s="17" t="n">
        <v>0</v>
      </c>
      <c r="K12" s="17" t="n">
        <v>0</v>
      </c>
      <c r="L12" s="17" t="n">
        <v>0</v>
      </c>
      <c r="M12" s="18" t="n">
        <f aca="false">D12*I12*J12</f>
        <v>0</v>
      </c>
    </row>
    <row r="13" customFormat="false" ht="15" hidden="false" customHeight="false" outlineLevel="0" collapsed="false">
      <c r="A13" s="14" t="s">
        <v>200</v>
      </c>
      <c r="B13" s="14" t="s">
        <v>201</v>
      </c>
      <c r="C13" s="14" t="s">
        <v>212</v>
      </c>
      <c r="D13" s="14" t="n">
        <v>29.5</v>
      </c>
      <c r="E13" s="16" t="n">
        <v>45352</v>
      </c>
      <c r="F13" s="14" t="s">
        <v>203</v>
      </c>
      <c r="G13" s="14" t="s">
        <v>204</v>
      </c>
      <c r="H13" s="17" t="s">
        <v>209</v>
      </c>
      <c r="I13" s="17" t="n">
        <v>0</v>
      </c>
      <c r="J13" s="17" t="n">
        <v>0</v>
      </c>
      <c r="K13" s="17" t="n">
        <v>0</v>
      </c>
      <c r="L13" s="17" t="n">
        <v>0</v>
      </c>
      <c r="M13" s="18" t="n">
        <f aca="false">D13*I13*J13</f>
        <v>0</v>
      </c>
    </row>
    <row r="14" customFormat="false" ht="15" hidden="false" customHeight="false" outlineLevel="0" collapsed="false">
      <c r="A14" s="14" t="s">
        <v>214</v>
      </c>
      <c r="B14" s="14" t="s">
        <v>215</v>
      </c>
      <c r="C14" s="14" t="s">
        <v>216</v>
      </c>
      <c r="D14" s="14" t="n">
        <v>93</v>
      </c>
      <c r="E14" s="16" t="n">
        <v>45353</v>
      </c>
      <c r="F14" s="14" t="s">
        <v>217</v>
      </c>
      <c r="G14" s="14" t="s">
        <v>204</v>
      </c>
      <c r="H14" s="17" t="s">
        <v>205</v>
      </c>
      <c r="I14" s="17" t="n">
        <v>0</v>
      </c>
      <c r="J14" s="17" t="n">
        <v>0</v>
      </c>
      <c r="K14" s="17" t="n">
        <v>0</v>
      </c>
      <c r="L14" s="17" t="n">
        <v>0</v>
      </c>
      <c r="M14" s="18" t="n">
        <f aca="false">D14*I14*J14</f>
        <v>0</v>
      </c>
    </row>
    <row r="15" customFormat="false" ht="15" hidden="false" customHeight="false" outlineLevel="0" collapsed="false">
      <c r="A15" s="14" t="s">
        <v>214</v>
      </c>
      <c r="B15" s="14" t="s">
        <v>215</v>
      </c>
      <c r="C15" s="14" t="s">
        <v>216</v>
      </c>
      <c r="D15" s="14" t="n">
        <v>93</v>
      </c>
      <c r="E15" s="16" t="n">
        <v>45353</v>
      </c>
      <c r="F15" s="14" t="s">
        <v>217</v>
      </c>
      <c r="G15" s="14" t="s">
        <v>204</v>
      </c>
      <c r="H15" s="17" t="s">
        <v>206</v>
      </c>
      <c r="I15" s="17" t="n">
        <v>0</v>
      </c>
      <c r="J15" s="17" t="n">
        <v>0</v>
      </c>
      <c r="K15" s="17" t="n">
        <v>0</v>
      </c>
      <c r="L15" s="17" t="n">
        <v>0</v>
      </c>
      <c r="M15" s="18" t="n">
        <f aca="false">D15*I15*J15</f>
        <v>0</v>
      </c>
    </row>
    <row r="16" customFormat="false" ht="15" hidden="false" customHeight="false" outlineLevel="0" collapsed="false">
      <c r="A16" s="14" t="s">
        <v>214</v>
      </c>
      <c r="B16" s="14" t="s">
        <v>215</v>
      </c>
      <c r="C16" s="14" t="s">
        <v>216</v>
      </c>
      <c r="D16" s="14" t="n">
        <v>93</v>
      </c>
      <c r="E16" s="16" t="n">
        <v>45353</v>
      </c>
      <c r="F16" s="14" t="s">
        <v>217</v>
      </c>
      <c r="G16" s="14" t="s">
        <v>204</v>
      </c>
      <c r="H16" s="17" t="s">
        <v>207</v>
      </c>
      <c r="I16" s="17" t="n">
        <v>743</v>
      </c>
      <c r="J16" s="17" t="n">
        <v>1</v>
      </c>
      <c r="K16" s="17" t="s">
        <v>218</v>
      </c>
      <c r="L16" s="17" t="n">
        <v>15</v>
      </c>
      <c r="M16" s="18" t="n">
        <f aca="false">D16*I16*J16</f>
        <v>69099</v>
      </c>
    </row>
    <row r="17" customFormat="false" ht="15" hidden="false" customHeight="false" outlineLevel="0" collapsed="false">
      <c r="A17" s="14" t="s">
        <v>214</v>
      </c>
      <c r="B17" s="14" t="s">
        <v>215</v>
      </c>
      <c r="C17" s="14" t="s">
        <v>216</v>
      </c>
      <c r="D17" s="14" t="n">
        <v>93</v>
      </c>
      <c r="E17" s="16" t="n">
        <v>45353</v>
      </c>
      <c r="F17" s="14" t="s">
        <v>217</v>
      </c>
      <c r="G17" s="14" t="s">
        <v>204</v>
      </c>
      <c r="H17" s="17" t="s">
        <v>209</v>
      </c>
      <c r="I17" s="17" t="n">
        <v>0</v>
      </c>
      <c r="J17" s="17" t="n">
        <v>0</v>
      </c>
      <c r="K17" s="17" t="n">
        <v>0</v>
      </c>
      <c r="L17" s="17" t="n">
        <v>0</v>
      </c>
      <c r="M17" s="18" t="n">
        <f aca="false">D17*I17*J17</f>
        <v>0</v>
      </c>
    </row>
    <row r="18" customFormat="false" ht="15" hidden="false" customHeight="false" outlineLevel="0" collapsed="false">
      <c r="A18" s="14" t="s">
        <v>214</v>
      </c>
      <c r="B18" s="14" t="s">
        <v>215</v>
      </c>
      <c r="C18" s="14" t="s">
        <v>219</v>
      </c>
      <c r="D18" s="14" t="n">
        <v>5.6</v>
      </c>
      <c r="E18" s="16" t="n">
        <v>45353</v>
      </c>
      <c r="F18" s="14" t="s">
        <v>217</v>
      </c>
      <c r="G18" s="14" t="s">
        <v>204</v>
      </c>
      <c r="H18" s="17" t="s">
        <v>205</v>
      </c>
      <c r="I18" s="17" t="n">
        <v>1022</v>
      </c>
      <c r="J18" s="17" t="n">
        <v>1.1</v>
      </c>
      <c r="K18" s="17" t="s">
        <v>220</v>
      </c>
      <c r="L18" s="17" t="n">
        <v>19</v>
      </c>
      <c r="M18" s="18" t="n">
        <f aca="false">D18*I18*J18</f>
        <v>6295.52</v>
      </c>
    </row>
    <row r="19" customFormat="false" ht="15" hidden="false" customHeight="false" outlineLevel="0" collapsed="false">
      <c r="A19" s="14" t="s">
        <v>214</v>
      </c>
      <c r="B19" s="14" t="s">
        <v>215</v>
      </c>
      <c r="C19" s="14" t="s">
        <v>219</v>
      </c>
      <c r="D19" s="14" t="n">
        <v>5.6</v>
      </c>
      <c r="E19" s="16" t="n">
        <v>45353</v>
      </c>
      <c r="F19" s="14" t="s">
        <v>217</v>
      </c>
      <c r="G19" s="14" t="s">
        <v>204</v>
      </c>
      <c r="H19" s="17" t="s">
        <v>206</v>
      </c>
      <c r="I19" s="17" t="n">
        <v>0</v>
      </c>
      <c r="J19" s="17" t="n">
        <v>0</v>
      </c>
      <c r="K19" s="17" t="n">
        <v>0</v>
      </c>
      <c r="L19" s="17" t="n">
        <v>0</v>
      </c>
      <c r="M19" s="18" t="n">
        <f aca="false">D19*I19*J19</f>
        <v>0</v>
      </c>
    </row>
    <row r="20" customFormat="false" ht="15" hidden="false" customHeight="false" outlineLevel="0" collapsed="false">
      <c r="A20" s="14" t="s">
        <v>214</v>
      </c>
      <c r="B20" s="14" t="s">
        <v>215</v>
      </c>
      <c r="C20" s="14" t="s">
        <v>219</v>
      </c>
      <c r="D20" s="14" t="n">
        <v>5.6</v>
      </c>
      <c r="E20" s="16" t="n">
        <v>45353</v>
      </c>
      <c r="F20" s="14" t="s">
        <v>217</v>
      </c>
      <c r="G20" s="14" t="s">
        <v>204</v>
      </c>
      <c r="H20" s="17" t="s">
        <v>207</v>
      </c>
      <c r="I20" s="17" t="n">
        <v>1015</v>
      </c>
      <c r="J20" s="17" t="n">
        <v>1</v>
      </c>
      <c r="K20" s="17" t="s">
        <v>220</v>
      </c>
      <c r="L20" s="17" t="n">
        <v>20</v>
      </c>
      <c r="M20" s="18" t="n">
        <f aca="false">D20*I20*J20</f>
        <v>5684</v>
      </c>
    </row>
    <row r="21" customFormat="false" ht="15" hidden="false" customHeight="false" outlineLevel="0" collapsed="false">
      <c r="A21" s="14" t="s">
        <v>214</v>
      </c>
      <c r="B21" s="14" t="s">
        <v>215</v>
      </c>
      <c r="C21" s="14" t="s">
        <v>219</v>
      </c>
      <c r="D21" s="14" t="n">
        <v>5.6</v>
      </c>
      <c r="E21" s="16" t="n">
        <v>45353</v>
      </c>
      <c r="F21" s="14" t="s">
        <v>217</v>
      </c>
      <c r="G21" s="14" t="s">
        <v>204</v>
      </c>
      <c r="H21" s="17" t="s">
        <v>209</v>
      </c>
      <c r="I21" s="17" t="n">
        <v>0</v>
      </c>
      <c r="J21" s="17" t="n">
        <v>0</v>
      </c>
      <c r="K21" s="17" t="n">
        <v>0</v>
      </c>
      <c r="L21" s="17" t="n">
        <v>0</v>
      </c>
      <c r="M21" s="18" t="n">
        <f aca="false">D21*I21*J21</f>
        <v>0</v>
      </c>
    </row>
    <row r="22" customFormat="false" ht="15" hidden="false" customHeight="false" outlineLevel="0" collapsed="false">
      <c r="A22" s="14" t="s">
        <v>214</v>
      </c>
      <c r="B22" s="14" t="s">
        <v>215</v>
      </c>
      <c r="C22" s="14" t="s">
        <v>221</v>
      </c>
      <c r="D22" s="14" t="n">
        <v>10.6</v>
      </c>
      <c r="E22" s="16" t="n">
        <v>45353</v>
      </c>
      <c r="F22" s="14" t="s">
        <v>217</v>
      </c>
      <c r="G22" s="14" t="s">
        <v>204</v>
      </c>
      <c r="H22" s="17" t="s">
        <v>205</v>
      </c>
      <c r="I22" s="17" t="n">
        <v>514</v>
      </c>
      <c r="J22" s="17" t="n">
        <v>1.05</v>
      </c>
      <c r="K22" s="17" t="s">
        <v>222</v>
      </c>
      <c r="L22" s="17" t="n">
        <v>40</v>
      </c>
      <c r="M22" s="18" t="n">
        <f aca="false">D22*I22*J22</f>
        <v>5720.82</v>
      </c>
    </row>
    <row r="23" customFormat="false" ht="15" hidden="false" customHeight="false" outlineLevel="0" collapsed="false">
      <c r="A23" s="14" t="s">
        <v>214</v>
      </c>
      <c r="B23" s="14" t="s">
        <v>215</v>
      </c>
      <c r="C23" s="14" t="s">
        <v>221</v>
      </c>
      <c r="D23" s="14" t="n">
        <v>10.6</v>
      </c>
      <c r="E23" s="16" t="n">
        <v>45353</v>
      </c>
      <c r="F23" s="14" t="s">
        <v>217</v>
      </c>
      <c r="G23" s="14" t="s">
        <v>204</v>
      </c>
      <c r="H23" s="17" t="s">
        <v>206</v>
      </c>
      <c r="I23" s="17" t="n">
        <v>0</v>
      </c>
      <c r="J23" s="17" t="n">
        <v>0</v>
      </c>
      <c r="K23" s="17" t="n">
        <v>0</v>
      </c>
      <c r="L23" s="17" t="n">
        <v>0</v>
      </c>
      <c r="M23" s="18" t="n">
        <f aca="false">D23*I23*J23</f>
        <v>0</v>
      </c>
    </row>
    <row r="24" customFormat="false" ht="15" hidden="false" customHeight="false" outlineLevel="0" collapsed="false">
      <c r="A24" s="14" t="s">
        <v>214</v>
      </c>
      <c r="B24" s="14" t="s">
        <v>215</v>
      </c>
      <c r="C24" s="14" t="s">
        <v>221</v>
      </c>
      <c r="D24" s="14" t="n">
        <v>10.6</v>
      </c>
      <c r="E24" s="16" t="n">
        <v>45353</v>
      </c>
      <c r="F24" s="14" t="s">
        <v>217</v>
      </c>
      <c r="G24" s="14" t="s">
        <v>204</v>
      </c>
      <c r="H24" s="17" t="s">
        <v>207</v>
      </c>
      <c r="I24" s="17" t="n">
        <v>0</v>
      </c>
      <c r="J24" s="17" t="n">
        <v>0</v>
      </c>
      <c r="K24" s="17" t="n">
        <v>0</v>
      </c>
      <c r="L24" s="17" t="n">
        <v>0</v>
      </c>
      <c r="M24" s="18" t="n">
        <f aca="false">D24*I24*J24</f>
        <v>0</v>
      </c>
    </row>
    <row r="25" customFormat="false" ht="15" hidden="false" customHeight="false" outlineLevel="0" collapsed="false">
      <c r="A25" s="14" t="s">
        <v>214</v>
      </c>
      <c r="B25" s="14" t="s">
        <v>215</v>
      </c>
      <c r="C25" s="14" t="s">
        <v>221</v>
      </c>
      <c r="D25" s="14" t="n">
        <v>10.6</v>
      </c>
      <c r="E25" s="16" t="n">
        <v>45353</v>
      </c>
      <c r="F25" s="14" t="s">
        <v>217</v>
      </c>
      <c r="G25" s="14" t="s">
        <v>204</v>
      </c>
      <c r="H25" s="17" t="s">
        <v>209</v>
      </c>
      <c r="I25" s="17" t="n">
        <v>509</v>
      </c>
      <c r="J25" s="17" t="n">
        <v>1</v>
      </c>
      <c r="K25" s="17" t="s">
        <v>222</v>
      </c>
      <c r="L25" s="17" t="n">
        <v>34</v>
      </c>
      <c r="M25" s="18" t="n">
        <f aca="false">D25*I25*J25</f>
        <v>5395.4</v>
      </c>
    </row>
    <row r="26" customFormat="false" ht="15" hidden="false" customHeight="false" outlineLevel="0" collapsed="false">
      <c r="A26" s="14" t="s">
        <v>214</v>
      </c>
      <c r="B26" s="14" t="s">
        <v>215</v>
      </c>
      <c r="C26" s="14" t="s">
        <v>223</v>
      </c>
      <c r="D26" s="14" t="n">
        <v>0.7</v>
      </c>
      <c r="E26" s="16" t="n">
        <v>45353</v>
      </c>
      <c r="F26" s="14" t="s">
        <v>217</v>
      </c>
      <c r="G26" s="14" t="s">
        <v>204</v>
      </c>
      <c r="H26" s="17" t="s">
        <v>205</v>
      </c>
      <c r="I26" s="17" t="n">
        <v>0</v>
      </c>
      <c r="J26" s="17" t="n">
        <v>0</v>
      </c>
      <c r="K26" s="17" t="n">
        <v>0</v>
      </c>
      <c r="L26" s="17" t="n">
        <v>0</v>
      </c>
      <c r="M26" s="18" t="n">
        <f aca="false">D26*I26*J26</f>
        <v>0</v>
      </c>
    </row>
    <row r="27" customFormat="false" ht="15" hidden="false" customHeight="false" outlineLevel="0" collapsed="false">
      <c r="A27" s="14" t="s">
        <v>214</v>
      </c>
      <c r="B27" s="14" t="s">
        <v>215</v>
      </c>
      <c r="C27" s="14" t="s">
        <v>223</v>
      </c>
      <c r="D27" s="14" t="n">
        <v>0.7</v>
      </c>
      <c r="E27" s="16" t="n">
        <v>45353</v>
      </c>
      <c r="F27" s="14" t="s">
        <v>217</v>
      </c>
      <c r="G27" s="14" t="s">
        <v>204</v>
      </c>
      <c r="H27" s="17" t="s">
        <v>206</v>
      </c>
      <c r="I27" s="17" t="n">
        <v>0</v>
      </c>
      <c r="J27" s="17" t="n">
        <v>0</v>
      </c>
      <c r="K27" s="17" t="n">
        <v>0</v>
      </c>
      <c r="L27" s="17" t="n">
        <v>0</v>
      </c>
      <c r="M27" s="18" t="n">
        <f aca="false">D27*I27*J27</f>
        <v>0</v>
      </c>
    </row>
    <row r="28" customFormat="false" ht="15" hidden="false" customHeight="false" outlineLevel="0" collapsed="false">
      <c r="A28" s="14" t="s">
        <v>214</v>
      </c>
      <c r="B28" s="14" t="s">
        <v>215</v>
      </c>
      <c r="C28" s="14" t="s">
        <v>223</v>
      </c>
      <c r="D28" s="14" t="n">
        <v>0.7</v>
      </c>
      <c r="E28" s="16" t="n">
        <v>45353</v>
      </c>
      <c r="F28" s="14" t="s">
        <v>217</v>
      </c>
      <c r="G28" s="14" t="s">
        <v>204</v>
      </c>
      <c r="H28" s="17" t="s">
        <v>207</v>
      </c>
      <c r="I28" s="17" t="n">
        <v>878</v>
      </c>
      <c r="J28" s="17" t="n">
        <v>1</v>
      </c>
      <c r="K28" s="17" t="s">
        <v>224</v>
      </c>
      <c r="L28" s="17" t="n">
        <v>31</v>
      </c>
      <c r="M28" s="18" t="n">
        <f aca="false">D28*I28*J28</f>
        <v>614.6</v>
      </c>
    </row>
    <row r="29" customFormat="false" ht="15" hidden="false" customHeight="false" outlineLevel="0" collapsed="false">
      <c r="A29" s="14" t="s">
        <v>214</v>
      </c>
      <c r="B29" s="14" t="s">
        <v>215</v>
      </c>
      <c r="C29" s="14" t="s">
        <v>223</v>
      </c>
      <c r="D29" s="14" t="n">
        <v>0.7</v>
      </c>
      <c r="E29" s="16" t="n">
        <v>45353</v>
      </c>
      <c r="F29" s="14" t="s">
        <v>217</v>
      </c>
      <c r="G29" s="14" t="s">
        <v>204</v>
      </c>
      <c r="H29" s="17" t="s">
        <v>209</v>
      </c>
      <c r="I29" s="17" t="n">
        <v>891</v>
      </c>
      <c r="J29" s="17" t="n">
        <v>1.05</v>
      </c>
      <c r="K29" s="17" t="s">
        <v>224</v>
      </c>
      <c r="L29" s="17" t="n">
        <v>28</v>
      </c>
      <c r="M29" s="18" t="n">
        <f aca="false">D29*I29*J29</f>
        <v>654.885</v>
      </c>
    </row>
    <row r="30" customFormat="false" ht="15" hidden="false" customHeight="false" outlineLevel="0" collapsed="false">
      <c r="A30" s="14" t="s">
        <v>214</v>
      </c>
      <c r="B30" s="14" t="s">
        <v>215</v>
      </c>
      <c r="C30" s="14" t="s">
        <v>225</v>
      </c>
      <c r="D30" s="14" t="n">
        <v>19</v>
      </c>
      <c r="E30" s="16" t="n">
        <v>45353</v>
      </c>
      <c r="F30" s="14" t="s">
        <v>217</v>
      </c>
      <c r="G30" s="14" t="s">
        <v>204</v>
      </c>
      <c r="H30" s="17" t="s">
        <v>205</v>
      </c>
      <c r="I30" s="17" t="n">
        <v>0</v>
      </c>
      <c r="J30" s="17" t="n">
        <v>0</v>
      </c>
      <c r="K30" s="17" t="n">
        <v>0</v>
      </c>
      <c r="L30" s="17" t="n">
        <v>0</v>
      </c>
      <c r="M30" s="18" t="n">
        <f aca="false">D30*I30*J30</f>
        <v>0</v>
      </c>
    </row>
    <row r="31" customFormat="false" ht="15" hidden="false" customHeight="false" outlineLevel="0" collapsed="false">
      <c r="A31" s="14" t="s">
        <v>214</v>
      </c>
      <c r="B31" s="14" t="s">
        <v>215</v>
      </c>
      <c r="C31" s="14" t="s">
        <v>225</v>
      </c>
      <c r="D31" s="14" t="n">
        <v>19</v>
      </c>
      <c r="E31" s="16" t="n">
        <v>45353</v>
      </c>
      <c r="F31" s="14" t="s">
        <v>217</v>
      </c>
      <c r="G31" s="14" t="s">
        <v>204</v>
      </c>
      <c r="H31" s="17" t="s">
        <v>206</v>
      </c>
      <c r="I31" s="17" t="n">
        <v>151</v>
      </c>
      <c r="J31" s="17" t="n">
        <v>1</v>
      </c>
      <c r="K31" s="17" t="s">
        <v>226</v>
      </c>
      <c r="L31" s="17" t="n">
        <v>18</v>
      </c>
      <c r="M31" s="18" t="n">
        <f aca="false">D31*I31*J31</f>
        <v>2869</v>
      </c>
    </row>
    <row r="32" customFormat="false" ht="15" hidden="false" customHeight="false" outlineLevel="0" collapsed="false">
      <c r="A32" s="14" t="s">
        <v>214</v>
      </c>
      <c r="B32" s="14" t="s">
        <v>215</v>
      </c>
      <c r="C32" s="14" t="s">
        <v>225</v>
      </c>
      <c r="D32" s="14" t="n">
        <v>19</v>
      </c>
      <c r="E32" s="16" t="n">
        <v>45353</v>
      </c>
      <c r="F32" s="14" t="s">
        <v>217</v>
      </c>
      <c r="G32" s="14" t="s">
        <v>204</v>
      </c>
      <c r="H32" s="17" t="s">
        <v>207</v>
      </c>
      <c r="I32" s="17" t="n">
        <v>0</v>
      </c>
      <c r="J32" s="17" t="n">
        <v>0</v>
      </c>
      <c r="K32" s="17" t="n">
        <v>0</v>
      </c>
      <c r="L32" s="17" t="n">
        <v>0</v>
      </c>
      <c r="M32" s="18" t="n">
        <f aca="false">D32*I32*J32</f>
        <v>0</v>
      </c>
    </row>
    <row r="33" customFormat="false" ht="15" hidden="false" customHeight="false" outlineLevel="0" collapsed="false">
      <c r="A33" s="14" t="s">
        <v>214</v>
      </c>
      <c r="B33" s="14" t="s">
        <v>215</v>
      </c>
      <c r="C33" s="14" t="s">
        <v>225</v>
      </c>
      <c r="D33" s="14" t="n">
        <v>19</v>
      </c>
      <c r="E33" s="16" t="n">
        <v>45353</v>
      </c>
      <c r="F33" s="14" t="s">
        <v>217</v>
      </c>
      <c r="G33" s="14" t="s">
        <v>204</v>
      </c>
      <c r="H33" s="17" t="s">
        <v>209</v>
      </c>
      <c r="I33" s="17" t="n">
        <v>0</v>
      </c>
      <c r="J33" s="17" t="n">
        <v>0</v>
      </c>
      <c r="K33" s="17" t="n">
        <v>0</v>
      </c>
      <c r="L33" s="17" t="n">
        <v>0</v>
      </c>
      <c r="M33" s="18" t="n">
        <f aca="false">D33*I33*J33</f>
        <v>0</v>
      </c>
    </row>
    <row r="34" customFormat="false" ht="15" hidden="false" customHeight="false" outlineLevel="0" collapsed="false">
      <c r="A34" s="14" t="s">
        <v>214</v>
      </c>
      <c r="B34" s="14" t="s">
        <v>215</v>
      </c>
      <c r="C34" s="14" t="s">
        <v>227</v>
      </c>
      <c r="D34" s="14" t="n">
        <v>118</v>
      </c>
      <c r="E34" s="16" t="n">
        <v>45353</v>
      </c>
      <c r="F34" s="14" t="s">
        <v>217</v>
      </c>
      <c r="G34" s="14" t="s">
        <v>204</v>
      </c>
      <c r="H34" s="17" t="s">
        <v>205</v>
      </c>
      <c r="I34" s="17" t="n">
        <v>534</v>
      </c>
      <c r="J34" s="17" t="n">
        <v>1.05</v>
      </c>
      <c r="K34" s="17" t="s">
        <v>228</v>
      </c>
      <c r="L34" s="17" t="n">
        <v>26</v>
      </c>
      <c r="M34" s="18" t="n">
        <f aca="false">D34*I34*J34</f>
        <v>66162.6</v>
      </c>
    </row>
    <row r="35" customFormat="false" ht="15" hidden="false" customHeight="false" outlineLevel="0" collapsed="false">
      <c r="A35" s="14" t="s">
        <v>214</v>
      </c>
      <c r="B35" s="14" t="s">
        <v>215</v>
      </c>
      <c r="C35" s="14" t="s">
        <v>227</v>
      </c>
      <c r="D35" s="14" t="n">
        <v>118</v>
      </c>
      <c r="E35" s="16" t="n">
        <v>45353</v>
      </c>
      <c r="F35" s="14" t="s">
        <v>217</v>
      </c>
      <c r="G35" s="14" t="s">
        <v>204</v>
      </c>
      <c r="H35" s="17" t="s">
        <v>206</v>
      </c>
      <c r="I35" s="17" t="n">
        <v>0</v>
      </c>
      <c r="J35" s="17" t="n">
        <v>0</v>
      </c>
      <c r="K35" s="17" t="n">
        <v>0</v>
      </c>
      <c r="L35" s="17" t="n">
        <v>0</v>
      </c>
      <c r="M35" s="18" t="n">
        <f aca="false">D35*I35*J35</f>
        <v>0</v>
      </c>
    </row>
    <row r="36" customFormat="false" ht="15" hidden="false" customHeight="false" outlineLevel="0" collapsed="false">
      <c r="A36" s="14" t="s">
        <v>214</v>
      </c>
      <c r="B36" s="14" t="s">
        <v>215</v>
      </c>
      <c r="C36" s="14" t="s">
        <v>227</v>
      </c>
      <c r="D36" s="14" t="n">
        <v>118</v>
      </c>
      <c r="E36" s="16" t="n">
        <v>45353</v>
      </c>
      <c r="F36" s="14" t="s">
        <v>217</v>
      </c>
      <c r="G36" s="14" t="s">
        <v>204</v>
      </c>
      <c r="H36" s="17" t="s">
        <v>207</v>
      </c>
      <c r="I36" s="17" t="n">
        <v>0</v>
      </c>
      <c r="J36" s="17" t="n">
        <v>0</v>
      </c>
      <c r="K36" s="17" t="n">
        <v>0</v>
      </c>
      <c r="L36" s="17" t="n">
        <v>0</v>
      </c>
      <c r="M36" s="18" t="n">
        <f aca="false">D36*I36*J36</f>
        <v>0</v>
      </c>
    </row>
    <row r="37" customFormat="false" ht="15" hidden="false" customHeight="false" outlineLevel="0" collapsed="false">
      <c r="A37" s="14" t="s">
        <v>214</v>
      </c>
      <c r="B37" s="14" t="s">
        <v>215</v>
      </c>
      <c r="C37" s="14" t="s">
        <v>227</v>
      </c>
      <c r="D37" s="14" t="n">
        <v>118</v>
      </c>
      <c r="E37" s="16" t="n">
        <v>45353</v>
      </c>
      <c r="F37" s="14" t="s">
        <v>217</v>
      </c>
      <c r="G37" s="14" t="s">
        <v>204</v>
      </c>
      <c r="H37" s="17" t="s">
        <v>209</v>
      </c>
      <c r="I37" s="17" t="n">
        <v>527</v>
      </c>
      <c r="J37" s="17" t="n">
        <v>1</v>
      </c>
      <c r="K37" s="17" t="s">
        <v>228</v>
      </c>
      <c r="L37" s="17" t="n">
        <v>32</v>
      </c>
      <c r="M37" s="18" t="n">
        <f aca="false">D37*I37*J37</f>
        <v>62186</v>
      </c>
    </row>
    <row r="38" customFormat="false" ht="15" hidden="false" customHeight="false" outlineLevel="0" collapsed="false">
      <c r="A38" s="14" t="s">
        <v>229</v>
      </c>
      <c r="B38" s="14" t="s">
        <v>230</v>
      </c>
      <c r="C38" s="14" t="s">
        <v>231</v>
      </c>
      <c r="D38" s="14" t="n">
        <v>3.1</v>
      </c>
      <c r="E38" s="16" t="n">
        <v>45354</v>
      </c>
      <c r="F38" s="14" t="s">
        <v>232</v>
      </c>
      <c r="G38" s="14" t="s">
        <v>204</v>
      </c>
      <c r="H38" s="17" t="s">
        <v>205</v>
      </c>
      <c r="I38" s="17" t="n">
        <v>236</v>
      </c>
      <c r="J38" s="17" t="n">
        <v>1</v>
      </c>
      <c r="K38" s="17" t="s">
        <v>233</v>
      </c>
      <c r="L38" s="17" t="n">
        <v>17</v>
      </c>
      <c r="M38" s="18" t="n">
        <f aca="false">D38*I38*J38</f>
        <v>731.6</v>
      </c>
    </row>
    <row r="39" customFormat="false" ht="15" hidden="false" customHeight="false" outlineLevel="0" collapsed="false">
      <c r="A39" s="14" t="s">
        <v>229</v>
      </c>
      <c r="B39" s="14" t="s">
        <v>230</v>
      </c>
      <c r="C39" s="14" t="s">
        <v>231</v>
      </c>
      <c r="D39" s="14" t="n">
        <v>3.1</v>
      </c>
      <c r="E39" s="16" t="n">
        <v>45354</v>
      </c>
      <c r="F39" s="14" t="s">
        <v>232</v>
      </c>
      <c r="G39" s="14" t="s">
        <v>204</v>
      </c>
      <c r="H39" s="17" t="s">
        <v>206</v>
      </c>
      <c r="I39" s="17" t="n">
        <v>238</v>
      </c>
      <c r="J39" s="17" t="n">
        <v>1.05</v>
      </c>
      <c r="K39" s="17" t="s">
        <v>233</v>
      </c>
      <c r="L39" s="17" t="n">
        <v>17</v>
      </c>
      <c r="M39" s="18" t="n">
        <f aca="false">D39*I39*J39</f>
        <v>774.69</v>
      </c>
    </row>
    <row r="40" customFormat="false" ht="15" hidden="false" customHeight="false" outlineLevel="0" collapsed="false">
      <c r="A40" s="14" t="s">
        <v>229</v>
      </c>
      <c r="B40" s="14" t="s">
        <v>230</v>
      </c>
      <c r="C40" s="14" t="s">
        <v>231</v>
      </c>
      <c r="D40" s="14" t="n">
        <v>3.1</v>
      </c>
      <c r="E40" s="16" t="n">
        <v>45354</v>
      </c>
      <c r="F40" s="14" t="s">
        <v>232</v>
      </c>
      <c r="G40" s="14" t="s">
        <v>204</v>
      </c>
      <c r="H40" s="17" t="s">
        <v>207</v>
      </c>
      <c r="I40" s="17" t="n">
        <v>0</v>
      </c>
      <c r="J40" s="17" t="n">
        <v>0</v>
      </c>
      <c r="K40" s="17" t="n">
        <v>0</v>
      </c>
      <c r="L40" s="17" t="n">
        <v>0</v>
      </c>
      <c r="M40" s="18" t="n">
        <f aca="false">D40*I40*J40</f>
        <v>0</v>
      </c>
    </row>
    <row r="41" customFormat="false" ht="15" hidden="false" customHeight="false" outlineLevel="0" collapsed="false">
      <c r="A41" s="14" t="s">
        <v>229</v>
      </c>
      <c r="B41" s="14" t="s">
        <v>230</v>
      </c>
      <c r="C41" s="14" t="s">
        <v>231</v>
      </c>
      <c r="D41" s="14" t="n">
        <v>3.1</v>
      </c>
      <c r="E41" s="16" t="n">
        <v>45354</v>
      </c>
      <c r="F41" s="14" t="s">
        <v>232</v>
      </c>
      <c r="G41" s="14" t="s">
        <v>204</v>
      </c>
      <c r="H41" s="17" t="s">
        <v>209</v>
      </c>
      <c r="I41" s="17" t="n">
        <v>0</v>
      </c>
      <c r="J41" s="17" t="n">
        <v>0</v>
      </c>
      <c r="K41" s="17" t="n">
        <v>0</v>
      </c>
      <c r="L41" s="17" t="n">
        <v>0</v>
      </c>
      <c r="M41" s="18" t="n">
        <f aca="false">D41*I41*J41</f>
        <v>0</v>
      </c>
    </row>
    <row r="42" customFormat="false" ht="15" hidden="false" customHeight="false" outlineLevel="0" collapsed="false">
      <c r="A42" s="14" t="s">
        <v>229</v>
      </c>
      <c r="B42" s="14" t="s">
        <v>230</v>
      </c>
      <c r="C42" s="14" t="s">
        <v>234</v>
      </c>
      <c r="D42" s="14" t="n">
        <v>65.1</v>
      </c>
      <c r="E42" s="16" t="n">
        <v>45354</v>
      </c>
      <c r="F42" s="14" t="s">
        <v>232</v>
      </c>
      <c r="G42" s="14" t="s">
        <v>204</v>
      </c>
      <c r="H42" s="17" t="s">
        <v>205</v>
      </c>
      <c r="I42" s="17" t="n">
        <v>307</v>
      </c>
      <c r="J42" s="17" t="n">
        <v>1.1</v>
      </c>
      <c r="K42" s="17" t="s">
        <v>235</v>
      </c>
      <c r="L42" s="17" t="n">
        <v>17</v>
      </c>
      <c r="M42" s="18" t="n">
        <f aca="false">D42*I42*J42</f>
        <v>21984.27</v>
      </c>
    </row>
    <row r="43" customFormat="false" ht="15" hidden="false" customHeight="false" outlineLevel="0" collapsed="false">
      <c r="A43" s="14" t="s">
        <v>229</v>
      </c>
      <c r="B43" s="14" t="s">
        <v>230</v>
      </c>
      <c r="C43" s="14" t="s">
        <v>234</v>
      </c>
      <c r="D43" s="14" t="n">
        <v>65.1</v>
      </c>
      <c r="E43" s="16" t="n">
        <v>45354</v>
      </c>
      <c r="F43" s="14" t="s">
        <v>232</v>
      </c>
      <c r="G43" s="14" t="s">
        <v>204</v>
      </c>
      <c r="H43" s="17" t="s">
        <v>206</v>
      </c>
      <c r="I43" s="17" t="n">
        <v>326</v>
      </c>
      <c r="J43" s="17" t="n">
        <v>1.15</v>
      </c>
      <c r="K43" s="17" t="s">
        <v>235</v>
      </c>
      <c r="L43" s="17" t="n">
        <v>17</v>
      </c>
      <c r="M43" s="18" t="n">
        <f aca="false">D43*I43*J43</f>
        <v>24405.99</v>
      </c>
    </row>
    <row r="44" customFormat="false" ht="15" hidden="false" customHeight="false" outlineLevel="0" collapsed="false">
      <c r="A44" s="14" t="s">
        <v>229</v>
      </c>
      <c r="B44" s="14" t="s">
        <v>230</v>
      </c>
      <c r="C44" s="14" t="s">
        <v>234</v>
      </c>
      <c r="D44" s="14" t="n">
        <v>65.1</v>
      </c>
      <c r="E44" s="16" t="n">
        <v>45354</v>
      </c>
      <c r="F44" s="14" t="s">
        <v>232</v>
      </c>
      <c r="G44" s="14" t="s">
        <v>204</v>
      </c>
      <c r="H44" s="17" t="s">
        <v>207</v>
      </c>
      <c r="I44" s="17" t="n">
        <v>310</v>
      </c>
      <c r="J44" s="17" t="n">
        <v>1</v>
      </c>
      <c r="K44" s="17" t="s">
        <v>235</v>
      </c>
      <c r="L44" s="17" t="n">
        <v>17</v>
      </c>
      <c r="M44" s="18" t="n">
        <f aca="false">D44*I44*J44</f>
        <v>20181</v>
      </c>
    </row>
    <row r="45" customFormat="false" ht="15" hidden="false" customHeight="false" outlineLevel="0" collapsed="false">
      <c r="A45" s="14" t="s">
        <v>229</v>
      </c>
      <c r="B45" s="14" t="s">
        <v>230</v>
      </c>
      <c r="C45" s="14" t="s">
        <v>234</v>
      </c>
      <c r="D45" s="14" t="n">
        <v>65.1</v>
      </c>
      <c r="E45" s="16" t="n">
        <v>45354</v>
      </c>
      <c r="F45" s="14" t="s">
        <v>232</v>
      </c>
      <c r="G45" s="14" t="s">
        <v>204</v>
      </c>
      <c r="H45" s="17" t="s">
        <v>209</v>
      </c>
      <c r="I45" s="17" t="n">
        <v>302</v>
      </c>
      <c r="J45" s="17" t="n">
        <v>1.05</v>
      </c>
      <c r="K45" s="17" t="s">
        <v>235</v>
      </c>
      <c r="L45" s="17" t="n">
        <v>17</v>
      </c>
      <c r="M45" s="18" t="n">
        <f aca="false">D45*I45*J45</f>
        <v>20643.21</v>
      </c>
    </row>
    <row r="46" customFormat="false" ht="15" hidden="false" customHeight="false" outlineLevel="0" collapsed="false">
      <c r="A46" s="14" t="s">
        <v>229</v>
      </c>
      <c r="B46" s="14" t="s">
        <v>230</v>
      </c>
      <c r="C46" s="14" t="s">
        <v>236</v>
      </c>
      <c r="D46" s="14" t="n">
        <v>53.3</v>
      </c>
      <c r="E46" s="16" t="n">
        <v>45354</v>
      </c>
      <c r="F46" s="14" t="s">
        <v>232</v>
      </c>
      <c r="G46" s="14" t="s">
        <v>204</v>
      </c>
      <c r="H46" s="17" t="s">
        <v>205</v>
      </c>
      <c r="I46" s="17" t="n">
        <v>0</v>
      </c>
      <c r="J46" s="17" t="n">
        <v>0</v>
      </c>
      <c r="K46" s="17" t="n">
        <v>0</v>
      </c>
      <c r="L46" s="17" t="n">
        <v>0</v>
      </c>
      <c r="M46" s="18" t="n">
        <f aca="false">D46*I46*J46</f>
        <v>0</v>
      </c>
    </row>
    <row r="47" customFormat="false" ht="15" hidden="false" customHeight="false" outlineLevel="0" collapsed="false">
      <c r="A47" s="14" t="s">
        <v>229</v>
      </c>
      <c r="B47" s="14" t="s">
        <v>230</v>
      </c>
      <c r="C47" s="14" t="s">
        <v>236</v>
      </c>
      <c r="D47" s="14" t="n">
        <v>53.3</v>
      </c>
      <c r="E47" s="16" t="n">
        <v>45354</v>
      </c>
      <c r="F47" s="14" t="s">
        <v>232</v>
      </c>
      <c r="G47" s="14" t="s">
        <v>204</v>
      </c>
      <c r="H47" s="17" t="s">
        <v>206</v>
      </c>
      <c r="I47" s="17" t="n">
        <v>0</v>
      </c>
      <c r="J47" s="17" t="n">
        <v>0</v>
      </c>
      <c r="K47" s="17" t="n">
        <v>0</v>
      </c>
      <c r="L47" s="17" t="n">
        <v>0</v>
      </c>
      <c r="M47" s="18" t="n">
        <f aca="false">D47*I47*J47</f>
        <v>0</v>
      </c>
    </row>
    <row r="48" customFormat="false" ht="15" hidden="false" customHeight="false" outlineLevel="0" collapsed="false">
      <c r="A48" s="14" t="s">
        <v>229</v>
      </c>
      <c r="B48" s="14" t="s">
        <v>230</v>
      </c>
      <c r="C48" s="14" t="s">
        <v>236</v>
      </c>
      <c r="D48" s="14" t="n">
        <v>53.3</v>
      </c>
      <c r="E48" s="16" t="n">
        <v>45354</v>
      </c>
      <c r="F48" s="14" t="s">
        <v>232</v>
      </c>
      <c r="G48" s="14" t="s">
        <v>204</v>
      </c>
      <c r="H48" s="17" t="s">
        <v>207</v>
      </c>
      <c r="I48" s="17" t="n">
        <v>0</v>
      </c>
      <c r="J48" s="17" t="n">
        <v>0</v>
      </c>
      <c r="K48" s="17" t="n">
        <v>0</v>
      </c>
      <c r="L48" s="17" t="n">
        <v>0</v>
      </c>
      <c r="M48" s="18" t="n">
        <f aca="false">D48*I48*J48</f>
        <v>0</v>
      </c>
    </row>
    <row r="49" customFormat="false" ht="15" hidden="false" customHeight="false" outlineLevel="0" collapsed="false">
      <c r="A49" s="14" t="s">
        <v>229</v>
      </c>
      <c r="B49" s="14" t="s">
        <v>230</v>
      </c>
      <c r="C49" s="14" t="s">
        <v>236</v>
      </c>
      <c r="D49" s="14" t="n">
        <v>53.3</v>
      </c>
      <c r="E49" s="16" t="n">
        <v>45354</v>
      </c>
      <c r="F49" s="14" t="s">
        <v>232</v>
      </c>
      <c r="G49" s="14" t="s">
        <v>204</v>
      </c>
      <c r="H49" s="17" t="s">
        <v>209</v>
      </c>
      <c r="I49" s="17" t="n">
        <v>324</v>
      </c>
      <c r="J49" s="17" t="n">
        <v>1</v>
      </c>
      <c r="K49" s="17" t="s">
        <v>237</v>
      </c>
      <c r="L49" s="17" t="n">
        <v>36</v>
      </c>
      <c r="M49" s="18" t="n">
        <f aca="false">D49*I49*J49</f>
        <v>17269.2</v>
      </c>
    </row>
    <row r="50" customFormat="false" ht="15" hidden="false" customHeight="false" outlineLevel="0" collapsed="false">
      <c r="A50" s="14" t="s">
        <v>229</v>
      </c>
      <c r="B50" s="14" t="s">
        <v>230</v>
      </c>
      <c r="C50" s="14" t="s">
        <v>238</v>
      </c>
      <c r="D50" s="14" t="n">
        <v>88.9</v>
      </c>
      <c r="E50" s="16" t="n">
        <v>45354</v>
      </c>
      <c r="F50" s="14" t="s">
        <v>232</v>
      </c>
      <c r="G50" s="14" t="s">
        <v>204</v>
      </c>
      <c r="H50" s="17" t="s">
        <v>205</v>
      </c>
      <c r="I50" s="17" t="n">
        <v>0</v>
      </c>
      <c r="J50" s="17" t="n">
        <v>0</v>
      </c>
      <c r="K50" s="17" t="n">
        <v>0</v>
      </c>
      <c r="L50" s="17" t="n">
        <v>0</v>
      </c>
      <c r="M50" s="18" t="n">
        <f aca="false">D50*I50*J50</f>
        <v>0</v>
      </c>
    </row>
    <row r="51" customFormat="false" ht="15" hidden="false" customHeight="false" outlineLevel="0" collapsed="false">
      <c r="A51" s="14" t="s">
        <v>229</v>
      </c>
      <c r="B51" s="14" t="s">
        <v>230</v>
      </c>
      <c r="C51" s="14" t="s">
        <v>238</v>
      </c>
      <c r="D51" s="14" t="n">
        <v>88.9</v>
      </c>
      <c r="E51" s="16" t="n">
        <v>45354</v>
      </c>
      <c r="F51" s="14" t="s">
        <v>232</v>
      </c>
      <c r="G51" s="14" t="s">
        <v>204</v>
      </c>
      <c r="H51" s="17" t="s">
        <v>206</v>
      </c>
      <c r="I51" s="17" t="n">
        <v>906</v>
      </c>
      <c r="J51" s="17" t="n">
        <v>1</v>
      </c>
      <c r="K51" s="17" t="s">
        <v>239</v>
      </c>
      <c r="L51" s="17" t="n">
        <v>30</v>
      </c>
      <c r="M51" s="18" t="n">
        <f aca="false">D51*I51*J51</f>
        <v>80543.4</v>
      </c>
    </row>
    <row r="52" customFormat="false" ht="15" hidden="false" customHeight="false" outlineLevel="0" collapsed="false">
      <c r="A52" s="14" t="s">
        <v>229</v>
      </c>
      <c r="B52" s="14" t="s">
        <v>230</v>
      </c>
      <c r="C52" s="14" t="s">
        <v>238</v>
      </c>
      <c r="D52" s="14" t="n">
        <v>88.9</v>
      </c>
      <c r="E52" s="16" t="n">
        <v>45354</v>
      </c>
      <c r="F52" s="14" t="s">
        <v>232</v>
      </c>
      <c r="G52" s="14" t="s">
        <v>204</v>
      </c>
      <c r="H52" s="17" t="s">
        <v>207</v>
      </c>
      <c r="I52" s="17" t="n">
        <v>0</v>
      </c>
      <c r="J52" s="17" t="n">
        <v>0</v>
      </c>
      <c r="K52" s="17" t="n">
        <v>0</v>
      </c>
      <c r="L52" s="17" t="n">
        <v>0</v>
      </c>
      <c r="M52" s="18" t="n">
        <f aca="false">D52*I52*J52</f>
        <v>0</v>
      </c>
    </row>
    <row r="53" customFormat="false" ht="15" hidden="false" customHeight="false" outlineLevel="0" collapsed="false">
      <c r="A53" s="14" t="s">
        <v>229</v>
      </c>
      <c r="B53" s="14" t="s">
        <v>230</v>
      </c>
      <c r="C53" s="14" t="s">
        <v>238</v>
      </c>
      <c r="D53" s="14" t="n">
        <v>88.9</v>
      </c>
      <c r="E53" s="16" t="n">
        <v>45354</v>
      </c>
      <c r="F53" s="14" t="s">
        <v>232</v>
      </c>
      <c r="G53" s="14" t="s">
        <v>204</v>
      </c>
      <c r="H53" s="17" t="s">
        <v>209</v>
      </c>
      <c r="I53" s="17" t="n">
        <v>0</v>
      </c>
      <c r="J53" s="17" t="n">
        <v>0</v>
      </c>
      <c r="K53" s="17" t="n">
        <v>0</v>
      </c>
      <c r="L53" s="17" t="n">
        <v>0</v>
      </c>
      <c r="M53" s="18" t="n">
        <f aca="false">D53*I53*J53</f>
        <v>0</v>
      </c>
    </row>
    <row r="54" customFormat="false" ht="15" hidden="false" customHeight="false" outlineLevel="0" collapsed="false">
      <c r="A54" s="14" t="s">
        <v>240</v>
      </c>
      <c r="B54" s="14" t="s">
        <v>241</v>
      </c>
      <c r="C54" s="14" t="s">
        <v>242</v>
      </c>
      <c r="D54" s="14" t="n">
        <v>5.7</v>
      </c>
      <c r="E54" s="16" t="n">
        <v>45355</v>
      </c>
      <c r="F54" s="14" t="s">
        <v>243</v>
      </c>
      <c r="G54" s="14" t="s">
        <v>244</v>
      </c>
      <c r="H54" s="17" t="s">
        <v>205</v>
      </c>
      <c r="I54" s="17" t="n">
        <v>456</v>
      </c>
      <c r="J54" s="17" t="n">
        <v>1.15</v>
      </c>
      <c r="K54" s="17" t="s">
        <v>245</v>
      </c>
      <c r="L54" s="17" t="n">
        <v>32</v>
      </c>
      <c r="M54" s="18" t="n">
        <f aca="false">D54*I54*J54</f>
        <v>2989.08</v>
      </c>
    </row>
    <row r="55" customFormat="false" ht="15" hidden="false" customHeight="false" outlineLevel="0" collapsed="false">
      <c r="A55" s="14" t="s">
        <v>240</v>
      </c>
      <c r="B55" s="14" t="s">
        <v>241</v>
      </c>
      <c r="C55" s="14" t="s">
        <v>242</v>
      </c>
      <c r="D55" s="14" t="n">
        <v>5.7</v>
      </c>
      <c r="E55" s="16" t="n">
        <v>45355</v>
      </c>
      <c r="F55" s="14" t="s">
        <v>243</v>
      </c>
      <c r="G55" s="14" t="s">
        <v>244</v>
      </c>
      <c r="H55" s="17" t="s">
        <v>206</v>
      </c>
      <c r="I55" s="17" t="n">
        <v>483</v>
      </c>
      <c r="J55" s="17" t="n">
        <v>1</v>
      </c>
      <c r="K55" s="17" t="s">
        <v>245</v>
      </c>
      <c r="L55" s="17" t="n">
        <v>32</v>
      </c>
      <c r="M55" s="18" t="n">
        <f aca="false">D55*I55*J55</f>
        <v>2753.1</v>
      </c>
    </row>
    <row r="56" customFormat="false" ht="15" hidden="false" customHeight="false" outlineLevel="0" collapsed="false">
      <c r="A56" s="14" t="s">
        <v>240</v>
      </c>
      <c r="B56" s="14" t="s">
        <v>241</v>
      </c>
      <c r="C56" s="14" t="s">
        <v>242</v>
      </c>
      <c r="D56" s="14" t="n">
        <v>5.7</v>
      </c>
      <c r="E56" s="16" t="n">
        <v>45355</v>
      </c>
      <c r="F56" s="14" t="s">
        <v>243</v>
      </c>
      <c r="G56" s="14" t="s">
        <v>244</v>
      </c>
      <c r="H56" s="17" t="s">
        <v>207</v>
      </c>
      <c r="I56" s="17" t="n">
        <v>493</v>
      </c>
      <c r="J56" s="17" t="n">
        <v>1.05</v>
      </c>
      <c r="K56" s="17" t="s">
        <v>245</v>
      </c>
      <c r="L56" s="17" t="n">
        <v>32</v>
      </c>
      <c r="M56" s="18" t="n">
        <f aca="false">D56*I56*J56</f>
        <v>2950.605</v>
      </c>
    </row>
    <row r="57" customFormat="false" ht="15" hidden="false" customHeight="false" outlineLevel="0" collapsed="false">
      <c r="A57" s="14" t="s">
        <v>240</v>
      </c>
      <c r="B57" s="14" t="s">
        <v>241</v>
      </c>
      <c r="C57" s="14" t="s">
        <v>242</v>
      </c>
      <c r="D57" s="14" t="n">
        <v>5.7</v>
      </c>
      <c r="E57" s="16" t="n">
        <v>45355</v>
      </c>
      <c r="F57" s="14" t="s">
        <v>243</v>
      </c>
      <c r="G57" s="14" t="s">
        <v>244</v>
      </c>
      <c r="H57" s="17" t="s">
        <v>209</v>
      </c>
      <c r="I57" s="17" t="n">
        <v>490</v>
      </c>
      <c r="J57" s="17" t="n">
        <v>1.1</v>
      </c>
      <c r="K57" s="17" t="s">
        <v>245</v>
      </c>
      <c r="L57" s="17" t="n">
        <v>32</v>
      </c>
      <c r="M57" s="18" t="n">
        <f aca="false">D57*I57*J57</f>
        <v>3072.3</v>
      </c>
    </row>
    <row r="58" customFormat="false" ht="15" hidden="false" customHeight="false" outlineLevel="0" collapsed="false">
      <c r="A58" s="14" t="s">
        <v>240</v>
      </c>
      <c r="B58" s="14" t="s">
        <v>241</v>
      </c>
      <c r="C58" s="14" t="s">
        <v>246</v>
      </c>
      <c r="D58" s="14" t="n">
        <v>79.9</v>
      </c>
      <c r="E58" s="16" t="n">
        <v>45355</v>
      </c>
      <c r="F58" s="14" t="s">
        <v>243</v>
      </c>
      <c r="G58" s="14" t="s">
        <v>244</v>
      </c>
      <c r="H58" s="17" t="s">
        <v>205</v>
      </c>
      <c r="I58" s="17" t="n">
        <v>0</v>
      </c>
      <c r="J58" s="17" t="n">
        <v>0</v>
      </c>
      <c r="K58" s="17" t="n">
        <v>0</v>
      </c>
      <c r="L58" s="17" t="n">
        <v>0</v>
      </c>
      <c r="M58" s="18" t="n">
        <f aca="false">D58*I58*J58</f>
        <v>0</v>
      </c>
    </row>
    <row r="59" customFormat="false" ht="15" hidden="false" customHeight="false" outlineLevel="0" collapsed="false">
      <c r="A59" s="14" t="s">
        <v>240</v>
      </c>
      <c r="B59" s="14" t="s">
        <v>241</v>
      </c>
      <c r="C59" s="14" t="s">
        <v>246</v>
      </c>
      <c r="D59" s="14" t="n">
        <v>79.9</v>
      </c>
      <c r="E59" s="16" t="n">
        <v>45355</v>
      </c>
      <c r="F59" s="14" t="s">
        <v>243</v>
      </c>
      <c r="G59" s="14" t="s">
        <v>244</v>
      </c>
      <c r="H59" s="17" t="s">
        <v>206</v>
      </c>
      <c r="I59" s="17" t="n">
        <v>150</v>
      </c>
      <c r="J59" s="17" t="n">
        <v>1.05</v>
      </c>
      <c r="K59" s="17" t="s">
        <v>247</v>
      </c>
      <c r="L59" s="17" t="n">
        <v>35</v>
      </c>
      <c r="M59" s="18" t="n">
        <f aca="false">D59*I59*J59</f>
        <v>12584.25</v>
      </c>
    </row>
    <row r="60" customFormat="false" ht="15" hidden="false" customHeight="false" outlineLevel="0" collapsed="false">
      <c r="A60" s="14" t="s">
        <v>240</v>
      </c>
      <c r="B60" s="14" t="s">
        <v>241</v>
      </c>
      <c r="C60" s="14" t="s">
        <v>246</v>
      </c>
      <c r="D60" s="14" t="n">
        <v>79.9</v>
      </c>
      <c r="E60" s="16" t="n">
        <v>45355</v>
      </c>
      <c r="F60" s="14" t="s">
        <v>243</v>
      </c>
      <c r="G60" s="14" t="s">
        <v>244</v>
      </c>
      <c r="H60" s="17" t="s">
        <v>207</v>
      </c>
      <c r="I60" s="17" t="n">
        <v>0</v>
      </c>
      <c r="J60" s="17" t="n">
        <v>0</v>
      </c>
      <c r="K60" s="17" t="n">
        <v>0</v>
      </c>
      <c r="L60" s="17" t="n">
        <v>0</v>
      </c>
      <c r="M60" s="18" t="n">
        <f aca="false">D60*I60*J60</f>
        <v>0</v>
      </c>
    </row>
    <row r="61" customFormat="false" ht="15" hidden="false" customHeight="false" outlineLevel="0" collapsed="false">
      <c r="A61" s="14" t="s">
        <v>240</v>
      </c>
      <c r="B61" s="14" t="s">
        <v>241</v>
      </c>
      <c r="C61" s="14" t="s">
        <v>246</v>
      </c>
      <c r="D61" s="14" t="n">
        <v>79.9</v>
      </c>
      <c r="E61" s="16" t="n">
        <v>45355</v>
      </c>
      <c r="F61" s="14" t="s">
        <v>243</v>
      </c>
      <c r="G61" s="14" t="s">
        <v>244</v>
      </c>
      <c r="H61" s="17" t="s">
        <v>209</v>
      </c>
      <c r="I61" s="17" t="n">
        <v>0</v>
      </c>
      <c r="J61" s="17" t="n">
        <v>0</v>
      </c>
      <c r="K61" s="17" t="n">
        <v>0</v>
      </c>
      <c r="L61" s="17" t="n">
        <v>0</v>
      </c>
      <c r="M61" s="18" t="n">
        <f aca="false">D61*I61*J61</f>
        <v>0</v>
      </c>
    </row>
    <row r="62" customFormat="false" ht="15" hidden="false" customHeight="false" outlineLevel="0" collapsed="false">
      <c r="A62" s="14" t="s">
        <v>240</v>
      </c>
      <c r="B62" s="14" t="s">
        <v>241</v>
      </c>
      <c r="C62" s="14" t="s">
        <v>248</v>
      </c>
      <c r="D62" s="14" t="n">
        <v>95.1</v>
      </c>
      <c r="E62" s="16" t="n">
        <v>45355</v>
      </c>
      <c r="F62" s="14" t="s">
        <v>243</v>
      </c>
      <c r="G62" s="14" t="s">
        <v>244</v>
      </c>
      <c r="H62" s="17" t="s">
        <v>205</v>
      </c>
      <c r="I62" s="17" t="n">
        <v>0</v>
      </c>
      <c r="J62" s="17" t="n">
        <v>0</v>
      </c>
      <c r="K62" s="17" t="n">
        <v>0</v>
      </c>
      <c r="L62" s="17" t="n">
        <v>0</v>
      </c>
      <c r="M62" s="18" t="n">
        <f aca="false">D62*I62*J62</f>
        <v>0</v>
      </c>
    </row>
    <row r="63" customFormat="false" ht="15" hidden="false" customHeight="false" outlineLevel="0" collapsed="false">
      <c r="A63" s="14" t="s">
        <v>240</v>
      </c>
      <c r="B63" s="14" t="s">
        <v>241</v>
      </c>
      <c r="C63" s="14" t="s">
        <v>248</v>
      </c>
      <c r="D63" s="14" t="n">
        <v>95.1</v>
      </c>
      <c r="E63" s="16" t="n">
        <v>45355</v>
      </c>
      <c r="F63" s="14" t="s">
        <v>243</v>
      </c>
      <c r="G63" s="14" t="s">
        <v>244</v>
      </c>
      <c r="H63" s="17" t="s">
        <v>206</v>
      </c>
      <c r="I63" s="17" t="n">
        <v>0</v>
      </c>
      <c r="J63" s="17" t="n">
        <v>0</v>
      </c>
      <c r="K63" s="17" t="n">
        <v>0</v>
      </c>
      <c r="L63" s="17" t="n">
        <v>0</v>
      </c>
      <c r="M63" s="18" t="n">
        <f aca="false">D63*I63*J63</f>
        <v>0</v>
      </c>
    </row>
    <row r="64" customFormat="false" ht="15" hidden="false" customHeight="false" outlineLevel="0" collapsed="false">
      <c r="A64" s="14" t="s">
        <v>240</v>
      </c>
      <c r="B64" s="14" t="s">
        <v>241</v>
      </c>
      <c r="C64" s="14" t="s">
        <v>248</v>
      </c>
      <c r="D64" s="14" t="n">
        <v>95.1</v>
      </c>
      <c r="E64" s="16" t="n">
        <v>45355</v>
      </c>
      <c r="F64" s="14" t="s">
        <v>243</v>
      </c>
      <c r="G64" s="14" t="s">
        <v>244</v>
      </c>
      <c r="H64" s="17" t="s">
        <v>207</v>
      </c>
      <c r="I64" s="17" t="n">
        <v>191</v>
      </c>
      <c r="J64" s="17" t="n">
        <v>1</v>
      </c>
      <c r="K64" s="17" t="s">
        <v>249</v>
      </c>
      <c r="L64" s="17" t="n">
        <v>13</v>
      </c>
      <c r="M64" s="18" t="n">
        <f aca="false">D64*I64*J64</f>
        <v>18164.1</v>
      </c>
    </row>
    <row r="65" customFormat="false" ht="15" hidden="false" customHeight="false" outlineLevel="0" collapsed="false">
      <c r="A65" s="14" t="s">
        <v>240</v>
      </c>
      <c r="B65" s="14" t="s">
        <v>241</v>
      </c>
      <c r="C65" s="14" t="s">
        <v>248</v>
      </c>
      <c r="D65" s="14" t="n">
        <v>95.1</v>
      </c>
      <c r="E65" s="16" t="n">
        <v>45355</v>
      </c>
      <c r="F65" s="14" t="s">
        <v>243</v>
      </c>
      <c r="G65" s="14" t="s">
        <v>244</v>
      </c>
      <c r="H65" s="17" t="s">
        <v>209</v>
      </c>
      <c r="I65" s="17" t="n">
        <v>205</v>
      </c>
      <c r="J65" s="17" t="n">
        <v>1.05</v>
      </c>
      <c r="K65" s="17" t="s">
        <v>249</v>
      </c>
      <c r="L65" s="17" t="n">
        <v>13</v>
      </c>
      <c r="M65" s="18" t="n">
        <f aca="false">D65*I65*J65</f>
        <v>20470.275</v>
      </c>
    </row>
    <row r="66" customFormat="false" ht="15" hidden="false" customHeight="false" outlineLevel="0" collapsed="false">
      <c r="A66" s="14" t="s">
        <v>250</v>
      </c>
      <c r="B66" s="14" t="s">
        <v>201</v>
      </c>
      <c r="C66" s="14" t="s">
        <v>251</v>
      </c>
      <c r="D66" s="14" t="n">
        <v>69.5</v>
      </c>
      <c r="E66" s="16" t="n">
        <v>45356</v>
      </c>
      <c r="F66" s="14" t="s">
        <v>252</v>
      </c>
      <c r="G66" s="14" t="s">
        <v>204</v>
      </c>
      <c r="H66" s="17" t="s">
        <v>205</v>
      </c>
      <c r="I66" s="17" t="n">
        <v>141</v>
      </c>
      <c r="J66" s="17" t="n">
        <v>1</v>
      </c>
      <c r="K66" s="17" t="s">
        <v>253</v>
      </c>
      <c r="L66" s="17" t="n">
        <v>7</v>
      </c>
      <c r="M66" s="18" t="n">
        <f aca="false">D66*I66*J66</f>
        <v>9799.5</v>
      </c>
    </row>
    <row r="67" customFormat="false" ht="15" hidden="false" customHeight="false" outlineLevel="0" collapsed="false">
      <c r="A67" s="14" t="s">
        <v>250</v>
      </c>
      <c r="B67" s="14" t="s">
        <v>201</v>
      </c>
      <c r="C67" s="14" t="s">
        <v>251</v>
      </c>
      <c r="D67" s="14" t="n">
        <v>69.5</v>
      </c>
      <c r="E67" s="16" t="n">
        <v>45356</v>
      </c>
      <c r="F67" s="14" t="s">
        <v>252</v>
      </c>
      <c r="G67" s="14" t="s">
        <v>204</v>
      </c>
      <c r="H67" s="17" t="s">
        <v>206</v>
      </c>
      <c r="I67" s="17" t="n">
        <v>135</v>
      </c>
      <c r="J67" s="17" t="n">
        <v>1.05</v>
      </c>
      <c r="K67" s="17" t="s">
        <v>253</v>
      </c>
      <c r="L67" s="17" t="n">
        <v>7</v>
      </c>
      <c r="M67" s="18" t="n">
        <f aca="false">D67*I67*J67</f>
        <v>9851.625</v>
      </c>
    </row>
    <row r="68" customFormat="false" ht="15" hidden="false" customHeight="false" outlineLevel="0" collapsed="false">
      <c r="A68" s="14" t="s">
        <v>250</v>
      </c>
      <c r="B68" s="14" t="s">
        <v>201</v>
      </c>
      <c r="C68" s="14" t="s">
        <v>251</v>
      </c>
      <c r="D68" s="14" t="n">
        <v>69.5</v>
      </c>
      <c r="E68" s="16" t="n">
        <v>45356</v>
      </c>
      <c r="F68" s="14" t="s">
        <v>252</v>
      </c>
      <c r="G68" s="14" t="s">
        <v>204</v>
      </c>
      <c r="H68" s="17" t="s">
        <v>207</v>
      </c>
      <c r="I68" s="17" t="n">
        <v>136</v>
      </c>
      <c r="J68" s="17" t="n">
        <v>1.1</v>
      </c>
      <c r="K68" s="17" t="s">
        <v>253</v>
      </c>
      <c r="L68" s="17" t="n">
        <v>7</v>
      </c>
      <c r="M68" s="18" t="n">
        <f aca="false">D68*I68*J68</f>
        <v>10397.2</v>
      </c>
    </row>
    <row r="69" customFormat="false" ht="15" hidden="false" customHeight="false" outlineLevel="0" collapsed="false">
      <c r="A69" s="14" t="s">
        <v>250</v>
      </c>
      <c r="B69" s="14" t="s">
        <v>201</v>
      </c>
      <c r="C69" s="14" t="s">
        <v>251</v>
      </c>
      <c r="D69" s="14" t="n">
        <v>69.5</v>
      </c>
      <c r="E69" s="16" t="n">
        <v>45356</v>
      </c>
      <c r="F69" s="14" t="s">
        <v>252</v>
      </c>
      <c r="G69" s="14" t="s">
        <v>204</v>
      </c>
      <c r="H69" s="17" t="s">
        <v>209</v>
      </c>
      <c r="I69" s="17" t="n">
        <v>0</v>
      </c>
      <c r="J69" s="17" t="n">
        <v>0</v>
      </c>
      <c r="K69" s="17" t="n">
        <v>0</v>
      </c>
      <c r="L69" s="17" t="n">
        <v>0</v>
      </c>
      <c r="M69" s="18" t="n">
        <f aca="false">D69*I69*J69</f>
        <v>0</v>
      </c>
    </row>
    <row r="70" customFormat="false" ht="15" hidden="false" customHeight="false" outlineLevel="0" collapsed="false">
      <c r="A70" s="14" t="s">
        <v>250</v>
      </c>
      <c r="B70" s="14" t="s">
        <v>201</v>
      </c>
      <c r="C70" s="15" t="s">
        <v>254</v>
      </c>
      <c r="D70" s="14" t="n">
        <v>44.6</v>
      </c>
      <c r="E70" s="16" t="n">
        <v>45356</v>
      </c>
      <c r="F70" s="14" t="s">
        <v>252</v>
      </c>
      <c r="G70" s="14" t="s">
        <v>204</v>
      </c>
      <c r="H70" s="17" t="s">
        <v>205</v>
      </c>
      <c r="I70" s="17" t="n">
        <v>692</v>
      </c>
      <c r="J70" s="17" t="n">
        <v>1</v>
      </c>
      <c r="K70" s="17" t="s">
        <v>255</v>
      </c>
      <c r="L70" s="17" t="n">
        <v>31</v>
      </c>
      <c r="M70" s="18" t="n">
        <f aca="false">D70*I70*J70</f>
        <v>30863.2</v>
      </c>
    </row>
    <row r="71" customFormat="false" ht="15" hidden="false" customHeight="false" outlineLevel="0" collapsed="false">
      <c r="A71" s="14" t="s">
        <v>250</v>
      </c>
      <c r="B71" s="14" t="s">
        <v>201</v>
      </c>
      <c r="C71" s="15" t="s">
        <v>254</v>
      </c>
      <c r="D71" s="14" t="n">
        <v>44.6</v>
      </c>
      <c r="E71" s="16" t="n">
        <v>45356</v>
      </c>
      <c r="F71" s="14" t="s">
        <v>252</v>
      </c>
      <c r="G71" s="14" t="s">
        <v>204</v>
      </c>
      <c r="H71" s="17" t="s">
        <v>206</v>
      </c>
      <c r="I71" s="17" t="n">
        <v>760</v>
      </c>
      <c r="J71" s="17" t="n">
        <v>1.05</v>
      </c>
      <c r="K71" s="17" t="s">
        <v>255</v>
      </c>
      <c r="L71" s="17" t="n">
        <v>25</v>
      </c>
      <c r="M71" s="18" t="n">
        <f aca="false">D71*I71*J71</f>
        <v>35590.8</v>
      </c>
    </row>
    <row r="72" customFormat="false" ht="15" hidden="false" customHeight="false" outlineLevel="0" collapsed="false">
      <c r="A72" s="14" t="s">
        <v>250</v>
      </c>
      <c r="B72" s="14" t="s">
        <v>201</v>
      </c>
      <c r="C72" s="15" t="s">
        <v>254</v>
      </c>
      <c r="D72" s="14" t="n">
        <v>44.6</v>
      </c>
      <c r="E72" s="16" t="n">
        <v>45356</v>
      </c>
      <c r="F72" s="14" t="s">
        <v>252</v>
      </c>
      <c r="G72" s="14" t="s">
        <v>204</v>
      </c>
      <c r="H72" s="17" t="s">
        <v>207</v>
      </c>
      <c r="I72" s="17" t="n">
        <v>681</v>
      </c>
      <c r="J72" s="17" t="n">
        <v>1.1</v>
      </c>
      <c r="K72" s="17" t="s">
        <v>255</v>
      </c>
      <c r="L72" s="17" t="n">
        <v>31</v>
      </c>
      <c r="M72" s="18" t="n">
        <f aca="false">D72*I72*J72</f>
        <v>33409.86</v>
      </c>
    </row>
    <row r="73" customFormat="false" ht="15" hidden="false" customHeight="false" outlineLevel="0" collapsed="false">
      <c r="A73" s="14" t="s">
        <v>250</v>
      </c>
      <c r="B73" s="14" t="s">
        <v>201</v>
      </c>
      <c r="C73" s="15" t="s">
        <v>254</v>
      </c>
      <c r="D73" s="14" t="n">
        <v>44.6</v>
      </c>
      <c r="E73" s="16" t="n">
        <v>45356</v>
      </c>
      <c r="F73" s="14" t="s">
        <v>252</v>
      </c>
      <c r="G73" s="14" t="s">
        <v>204</v>
      </c>
      <c r="H73" s="17" t="s">
        <v>209</v>
      </c>
      <c r="I73" s="17" t="n">
        <v>708</v>
      </c>
      <c r="J73" s="17" t="n">
        <v>1.15</v>
      </c>
      <c r="K73" s="17" t="s">
        <v>255</v>
      </c>
      <c r="L73" s="17" t="n">
        <v>46</v>
      </c>
      <c r="M73" s="18" t="n">
        <f aca="false">D73*I73*J73</f>
        <v>36313.32</v>
      </c>
    </row>
    <row r="74" customFormat="false" ht="15" hidden="false" customHeight="false" outlineLevel="0" collapsed="false">
      <c r="A74" s="14" t="s">
        <v>250</v>
      </c>
      <c r="B74" s="14" t="s">
        <v>201</v>
      </c>
      <c r="C74" s="14" t="s">
        <v>256</v>
      </c>
      <c r="D74" s="14" t="n">
        <v>52.8</v>
      </c>
      <c r="E74" s="16" t="n">
        <v>45356</v>
      </c>
      <c r="F74" s="14" t="s">
        <v>252</v>
      </c>
      <c r="G74" s="14" t="s">
        <v>204</v>
      </c>
      <c r="H74" s="17" t="s">
        <v>205</v>
      </c>
      <c r="I74" s="17" t="n">
        <v>0</v>
      </c>
      <c r="J74" s="17" t="n">
        <v>0</v>
      </c>
      <c r="K74" s="17" t="n">
        <v>0</v>
      </c>
      <c r="L74" s="17" t="n">
        <v>0</v>
      </c>
      <c r="M74" s="18" t="n">
        <f aca="false">D74*I74*J74</f>
        <v>0</v>
      </c>
    </row>
    <row r="75" customFormat="false" ht="15" hidden="false" customHeight="false" outlineLevel="0" collapsed="false">
      <c r="A75" s="14" t="s">
        <v>250</v>
      </c>
      <c r="B75" s="14" t="s">
        <v>201</v>
      </c>
      <c r="C75" s="14" t="s">
        <v>256</v>
      </c>
      <c r="D75" s="14" t="n">
        <v>52.8</v>
      </c>
      <c r="E75" s="16" t="n">
        <v>45356</v>
      </c>
      <c r="F75" s="14" t="s">
        <v>252</v>
      </c>
      <c r="G75" s="14" t="s">
        <v>204</v>
      </c>
      <c r="H75" s="17" t="s">
        <v>206</v>
      </c>
      <c r="I75" s="17" t="n">
        <v>432</v>
      </c>
      <c r="J75" s="17" t="n">
        <v>1.15</v>
      </c>
      <c r="K75" s="17" t="s">
        <v>257</v>
      </c>
      <c r="L75" s="17" t="n">
        <v>30</v>
      </c>
      <c r="M75" s="18" t="n">
        <f aca="false">D75*I75*J75</f>
        <v>26231.04</v>
      </c>
    </row>
    <row r="76" customFormat="false" ht="15" hidden="false" customHeight="false" outlineLevel="0" collapsed="false">
      <c r="A76" s="14" t="s">
        <v>250</v>
      </c>
      <c r="B76" s="14" t="s">
        <v>201</v>
      </c>
      <c r="C76" s="14" t="s">
        <v>256</v>
      </c>
      <c r="D76" s="14" t="n">
        <v>52.8</v>
      </c>
      <c r="E76" s="16" t="n">
        <v>45356</v>
      </c>
      <c r="F76" s="14" t="s">
        <v>252</v>
      </c>
      <c r="G76" s="14" t="s">
        <v>204</v>
      </c>
      <c r="H76" s="17" t="s">
        <v>207</v>
      </c>
      <c r="I76" s="17" t="n">
        <v>0</v>
      </c>
      <c r="J76" s="17" t="n">
        <v>0</v>
      </c>
      <c r="K76" s="17" t="n">
        <v>0</v>
      </c>
      <c r="L76" s="17" t="n">
        <v>0</v>
      </c>
      <c r="M76" s="18" t="n">
        <f aca="false">D76*I76*J76</f>
        <v>0</v>
      </c>
    </row>
    <row r="77" customFormat="false" ht="15" hidden="false" customHeight="false" outlineLevel="0" collapsed="false">
      <c r="A77" s="14" t="s">
        <v>250</v>
      </c>
      <c r="B77" s="14" t="s">
        <v>201</v>
      </c>
      <c r="C77" s="14" t="s">
        <v>256</v>
      </c>
      <c r="D77" s="14" t="n">
        <v>52.8</v>
      </c>
      <c r="E77" s="16" t="n">
        <v>45356</v>
      </c>
      <c r="F77" s="14" t="s">
        <v>252</v>
      </c>
      <c r="G77" s="14" t="s">
        <v>204</v>
      </c>
      <c r="H77" s="17" t="s">
        <v>209</v>
      </c>
      <c r="I77" s="17" t="n">
        <v>442</v>
      </c>
      <c r="J77" s="17" t="n">
        <v>1.05</v>
      </c>
      <c r="K77" s="17" t="s">
        <v>257</v>
      </c>
      <c r="L77" s="17" t="n">
        <v>35</v>
      </c>
      <c r="M77" s="18" t="n">
        <f aca="false">D77*I77*J77</f>
        <v>24504.48</v>
      </c>
    </row>
    <row r="78" customFormat="false" ht="15" hidden="false" customHeight="false" outlineLevel="0" collapsed="false">
      <c r="A78" s="14" t="s">
        <v>250</v>
      </c>
      <c r="B78" s="14" t="s">
        <v>201</v>
      </c>
      <c r="C78" s="14" t="s">
        <v>258</v>
      </c>
      <c r="D78" s="14" t="n">
        <v>23.3</v>
      </c>
      <c r="E78" s="16" t="n">
        <v>45356</v>
      </c>
      <c r="F78" s="14" t="s">
        <v>252</v>
      </c>
      <c r="G78" s="14" t="s">
        <v>204</v>
      </c>
      <c r="H78" s="17" t="s">
        <v>205</v>
      </c>
      <c r="I78" s="17" t="n">
        <v>0</v>
      </c>
      <c r="J78" s="17" t="n">
        <v>0</v>
      </c>
      <c r="K78" s="17" t="n">
        <v>0</v>
      </c>
      <c r="L78" s="17" t="n">
        <v>0</v>
      </c>
      <c r="M78" s="18" t="n">
        <f aca="false">D78*I78*J78</f>
        <v>0</v>
      </c>
    </row>
    <row r="79" customFormat="false" ht="15" hidden="false" customHeight="false" outlineLevel="0" collapsed="false">
      <c r="A79" s="14" t="s">
        <v>250</v>
      </c>
      <c r="B79" s="14" t="s">
        <v>201</v>
      </c>
      <c r="C79" s="14" t="s">
        <v>258</v>
      </c>
      <c r="D79" s="14" t="n">
        <v>23.3</v>
      </c>
      <c r="E79" s="16" t="n">
        <v>45356</v>
      </c>
      <c r="F79" s="14" t="s">
        <v>252</v>
      </c>
      <c r="G79" s="14" t="s">
        <v>204</v>
      </c>
      <c r="H79" s="17" t="s">
        <v>206</v>
      </c>
      <c r="I79" s="17" t="n">
        <v>997</v>
      </c>
      <c r="J79" s="17" t="n">
        <v>1.05</v>
      </c>
      <c r="K79" s="17" t="s">
        <v>259</v>
      </c>
      <c r="L79" s="17" t="n">
        <v>12</v>
      </c>
      <c r="M79" s="18" t="n">
        <f aca="false">D79*I79*J79</f>
        <v>24391.605</v>
      </c>
    </row>
    <row r="80" customFormat="false" ht="15" hidden="false" customHeight="false" outlineLevel="0" collapsed="false">
      <c r="A80" s="14" t="s">
        <v>250</v>
      </c>
      <c r="B80" s="14" t="s">
        <v>201</v>
      </c>
      <c r="C80" s="14" t="s">
        <v>258</v>
      </c>
      <c r="D80" s="14" t="n">
        <v>23.3</v>
      </c>
      <c r="E80" s="16" t="n">
        <v>45356</v>
      </c>
      <c r="F80" s="14" t="s">
        <v>252</v>
      </c>
      <c r="G80" s="14" t="s">
        <v>204</v>
      </c>
      <c r="H80" s="17" t="s">
        <v>207</v>
      </c>
      <c r="I80" s="17" t="n">
        <v>0</v>
      </c>
      <c r="J80" s="17" t="n">
        <v>0</v>
      </c>
      <c r="K80" s="17" t="n">
        <v>0</v>
      </c>
      <c r="L80" s="17" t="n">
        <v>0</v>
      </c>
      <c r="M80" s="18" t="n">
        <f aca="false">D80*I80*J80</f>
        <v>0</v>
      </c>
    </row>
    <row r="81" customFormat="false" ht="15" hidden="false" customHeight="false" outlineLevel="0" collapsed="false">
      <c r="A81" s="14" t="s">
        <v>250</v>
      </c>
      <c r="B81" s="14" t="s">
        <v>201</v>
      </c>
      <c r="C81" s="14" t="s">
        <v>258</v>
      </c>
      <c r="D81" s="14" t="n">
        <v>23.3</v>
      </c>
      <c r="E81" s="16" t="n">
        <v>45356</v>
      </c>
      <c r="F81" s="14" t="s">
        <v>252</v>
      </c>
      <c r="G81" s="14" t="s">
        <v>204</v>
      </c>
      <c r="H81" s="17" t="s">
        <v>209</v>
      </c>
      <c r="I81" s="17" t="n">
        <v>986</v>
      </c>
      <c r="J81" s="17" t="n">
        <v>1.15</v>
      </c>
      <c r="K81" s="17" t="s">
        <v>259</v>
      </c>
      <c r="L81" s="17" t="n">
        <v>17</v>
      </c>
      <c r="M81" s="18" t="n">
        <f aca="false">D81*I81*J81</f>
        <v>26419.87</v>
      </c>
    </row>
    <row r="82" customFormat="false" ht="15" hidden="false" customHeight="false" outlineLevel="0" collapsed="false">
      <c r="A82" s="14" t="s">
        <v>250</v>
      </c>
      <c r="B82" s="14" t="s">
        <v>201</v>
      </c>
      <c r="C82" s="14" t="s">
        <v>260</v>
      </c>
      <c r="D82" s="14" t="n">
        <v>11</v>
      </c>
      <c r="E82" s="16" t="n">
        <v>45356</v>
      </c>
      <c r="F82" s="14" t="s">
        <v>252</v>
      </c>
      <c r="G82" s="14" t="s">
        <v>204</v>
      </c>
      <c r="H82" s="17" t="s">
        <v>205</v>
      </c>
      <c r="I82" s="17" t="n">
        <v>497</v>
      </c>
      <c r="J82" s="17" t="n">
        <v>1.05</v>
      </c>
      <c r="K82" s="17" t="s">
        <v>261</v>
      </c>
      <c r="L82" s="17" t="n">
        <v>22</v>
      </c>
      <c r="M82" s="18" t="n">
        <f aca="false">D82*I82*J82</f>
        <v>5740.35</v>
      </c>
    </row>
    <row r="83" customFormat="false" ht="15" hidden="false" customHeight="false" outlineLevel="0" collapsed="false">
      <c r="A83" s="14" t="s">
        <v>250</v>
      </c>
      <c r="B83" s="14" t="s">
        <v>201</v>
      </c>
      <c r="C83" s="14" t="s">
        <v>260</v>
      </c>
      <c r="D83" s="14" t="n">
        <v>11</v>
      </c>
      <c r="E83" s="16" t="n">
        <v>45356</v>
      </c>
      <c r="F83" s="14" t="s">
        <v>252</v>
      </c>
      <c r="G83" s="14" t="s">
        <v>204</v>
      </c>
      <c r="H83" s="17" t="s">
        <v>206</v>
      </c>
      <c r="I83" s="17" t="n">
        <v>522</v>
      </c>
      <c r="J83" s="17" t="n">
        <v>1.1</v>
      </c>
      <c r="K83" s="17" t="s">
        <v>261</v>
      </c>
      <c r="L83" s="17" t="n">
        <v>30</v>
      </c>
      <c r="M83" s="18" t="n">
        <f aca="false">D83*I83*J83</f>
        <v>6316.2</v>
      </c>
    </row>
    <row r="84" customFormat="false" ht="15" hidden="false" customHeight="false" outlineLevel="0" collapsed="false">
      <c r="A84" s="14" t="s">
        <v>250</v>
      </c>
      <c r="B84" s="14" t="s">
        <v>201</v>
      </c>
      <c r="C84" s="14" t="s">
        <v>260</v>
      </c>
      <c r="D84" s="14" t="n">
        <v>11</v>
      </c>
      <c r="E84" s="16" t="n">
        <v>45356</v>
      </c>
      <c r="F84" s="14" t="s">
        <v>252</v>
      </c>
      <c r="G84" s="14" t="s">
        <v>204</v>
      </c>
      <c r="H84" s="17" t="s">
        <v>207</v>
      </c>
      <c r="I84" s="17" t="n">
        <v>0</v>
      </c>
      <c r="J84" s="17" t="n">
        <v>0</v>
      </c>
      <c r="K84" s="17" t="n">
        <v>0</v>
      </c>
      <c r="L84" s="17" t="n">
        <v>0</v>
      </c>
      <c r="M84" s="18" t="n">
        <f aca="false">D84*I84*J84</f>
        <v>0</v>
      </c>
    </row>
    <row r="85" customFormat="false" ht="15" hidden="false" customHeight="false" outlineLevel="0" collapsed="false">
      <c r="A85" s="14" t="s">
        <v>250</v>
      </c>
      <c r="B85" s="14" t="s">
        <v>201</v>
      </c>
      <c r="C85" s="14" t="s">
        <v>260</v>
      </c>
      <c r="D85" s="14" t="n">
        <v>11</v>
      </c>
      <c r="E85" s="16" t="n">
        <v>45356</v>
      </c>
      <c r="F85" s="14" t="s">
        <v>252</v>
      </c>
      <c r="G85" s="14" t="s">
        <v>204</v>
      </c>
      <c r="H85" s="17" t="s">
        <v>209</v>
      </c>
      <c r="I85" s="17" t="n">
        <v>0</v>
      </c>
      <c r="J85" s="17" t="n">
        <v>0</v>
      </c>
      <c r="K85" s="17" t="n">
        <v>0</v>
      </c>
      <c r="L85" s="17" t="n">
        <v>0</v>
      </c>
      <c r="M85" s="18" t="n">
        <f aca="false">D85*I85*J85</f>
        <v>0</v>
      </c>
    </row>
    <row r="86" customFormat="false" ht="15" hidden="false" customHeight="false" outlineLevel="0" collapsed="false">
      <c r="A86" s="14" t="s">
        <v>250</v>
      </c>
      <c r="B86" s="14" t="s">
        <v>201</v>
      </c>
      <c r="C86" s="14" t="s">
        <v>262</v>
      </c>
      <c r="D86" s="14" t="n">
        <v>70.9</v>
      </c>
      <c r="E86" s="16" t="n">
        <v>45356</v>
      </c>
      <c r="F86" s="14" t="s">
        <v>252</v>
      </c>
      <c r="G86" s="14" t="s">
        <v>204</v>
      </c>
      <c r="H86" s="17" t="s">
        <v>205</v>
      </c>
      <c r="I86" s="17" t="n">
        <v>0</v>
      </c>
      <c r="J86" s="17" t="n">
        <v>0</v>
      </c>
      <c r="K86" s="17" t="n">
        <v>0</v>
      </c>
      <c r="L86" s="17" t="n">
        <v>0</v>
      </c>
      <c r="M86" s="18" t="n">
        <f aca="false">D86*I86*J86</f>
        <v>0</v>
      </c>
    </row>
    <row r="87" customFormat="false" ht="15" hidden="false" customHeight="false" outlineLevel="0" collapsed="false">
      <c r="A87" s="14" t="s">
        <v>250</v>
      </c>
      <c r="B87" s="14" t="s">
        <v>201</v>
      </c>
      <c r="C87" s="14" t="s">
        <v>262</v>
      </c>
      <c r="D87" s="14" t="n">
        <v>70.9</v>
      </c>
      <c r="E87" s="16" t="n">
        <v>45356</v>
      </c>
      <c r="F87" s="14" t="s">
        <v>252</v>
      </c>
      <c r="G87" s="14" t="s">
        <v>204</v>
      </c>
      <c r="H87" s="17" t="s">
        <v>206</v>
      </c>
      <c r="I87" s="17" t="n">
        <v>0</v>
      </c>
      <c r="J87" s="17" t="n">
        <v>0</v>
      </c>
      <c r="K87" s="17" t="n">
        <v>0</v>
      </c>
      <c r="L87" s="17" t="n">
        <v>0</v>
      </c>
      <c r="M87" s="18" t="n">
        <f aca="false">D87*I87*J87</f>
        <v>0</v>
      </c>
    </row>
    <row r="88" customFormat="false" ht="15" hidden="false" customHeight="false" outlineLevel="0" collapsed="false">
      <c r="A88" s="14" t="s">
        <v>250</v>
      </c>
      <c r="B88" s="14" t="s">
        <v>201</v>
      </c>
      <c r="C88" s="14" t="s">
        <v>262</v>
      </c>
      <c r="D88" s="14" t="n">
        <v>70.9</v>
      </c>
      <c r="E88" s="16" t="n">
        <v>45356</v>
      </c>
      <c r="F88" s="14" t="s">
        <v>252</v>
      </c>
      <c r="G88" s="14" t="s">
        <v>204</v>
      </c>
      <c r="H88" s="17" t="s">
        <v>207</v>
      </c>
      <c r="I88" s="17" t="n">
        <v>0</v>
      </c>
      <c r="J88" s="17" t="n">
        <v>0</v>
      </c>
      <c r="K88" s="17" t="n">
        <v>0</v>
      </c>
      <c r="L88" s="17" t="n">
        <v>0</v>
      </c>
      <c r="M88" s="18" t="n">
        <f aca="false">D88*I88*J88</f>
        <v>0</v>
      </c>
    </row>
    <row r="89" customFormat="false" ht="15" hidden="false" customHeight="false" outlineLevel="0" collapsed="false">
      <c r="A89" s="14" t="s">
        <v>250</v>
      </c>
      <c r="B89" s="14" t="s">
        <v>201</v>
      </c>
      <c r="C89" s="14" t="s">
        <v>262</v>
      </c>
      <c r="D89" s="14" t="n">
        <v>70.9</v>
      </c>
      <c r="E89" s="16" t="n">
        <v>45356</v>
      </c>
      <c r="F89" s="14" t="s">
        <v>252</v>
      </c>
      <c r="G89" s="14" t="s">
        <v>204</v>
      </c>
      <c r="H89" s="17" t="s">
        <v>209</v>
      </c>
      <c r="I89" s="17" t="n">
        <v>719</v>
      </c>
      <c r="J89" s="17" t="n">
        <v>1</v>
      </c>
      <c r="K89" s="17" t="s">
        <v>263</v>
      </c>
      <c r="L89" s="17" t="n">
        <v>36</v>
      </c>
      <c r="M89" s="18" t="n">
        <f aca="false">D89*I89*J89</f>
        <v>50977.1</v>
      </c>
    </row>
    <row r="90" customFormat="false" ht="15" hidden="false" customHeight="false" outlineLevel="0" collapsed="false">
      <c r="A90" s="14" t="s">
        <v>264</v>
      </c>
      <c r="B90" s="14" t="s">
        <v>241</v>
      </c>
      <c r="C90" s="14" t="s">
        <v>265</v>
      </c>
      <c r="D90" s="14" t="n">
        <v>46</v>
      </c>
      <c r="E90" s="16" t="n">
        <v>45357</v>
      </c>
      <c r="F90" s="14" t="s">
        <v>203</v>
      </c>
      <c r="G90" s="14" t="s">
        <v>204</v>
      </c>
      <c r="H90" s="17" t="s">
        <v>205</v>
      </c>
      <c r="I90" s="17" t="n">
        <v>350</v>
      </c>
      <c r="J90" s="17" t="n">
        <v>1.15</v>
      </c>
      <c r="K90" s="17" t="s">
        <v>266</v>
      </c>
      <c r="L90" s="17" t="n">
        <v>14</v>
      </c>
      <c r="M90" s="18" t="n">
        <f aca="false">D90*I90*J90</f>
        <v>18515</v>
      </c>
    </row>
    <row r="91" customFormat="false" ht="15" hidden="false" customHeight="false" outlineLevel="0" collapsed="false">
      <c r="A91" s="14" t="s">
        <v>264</v>
      </c>
      <c r="B91" s="14" t="s">
        <v>241</v>
      </c>
      <c r="C91" s="14" t="s">
        <v>265</v>
      </c>
      <c r="D91" s="14" t="n">
        <v>46</v>
      </c>
      <c r="E91" s="16" t="n">
        <v>45357</v>
      </c>
      <c r="F91" s="14" t="s">
        <v>203</v>
      </c>
      <c r="G91" s="14" t="s">
        <v>204</v>
      </c>
      <c r="H91" s="17" t="s">
        <v>206</v>
      </c>
      <c r="I91" s="17" t="n">
        <v>355</v>
      </c>
      <c r="J91" s="17" t="n">
        <v>1</v>
      </c>
      <c r="K91" s="17" t="s">
        <v>266</v>
      </c>
      <c r="L91" s="17" t="n">
        <v>14</v>
      </c>
      <c r="M91" s="18" t="n">
        <f aca="false">D91*I91*J91</f>
        <v>16330</v>
      </c>
    </row>
    <row r="92" customFormat="false" ht="15" hidden="false" customHeight="false" outlineLevel="0" collapsed="false">
      <c r="A92" s="14" t="s">
        <v>264</v>
      </c>
      <c r="B92" s="14" t="s">
        <v>241</v>
      </c>
      <c r="C92" s="14" t="s">
        <v>265</v>
      </c>
      <c r="D92" s="14" t="n">
        <v>46</v>
      </c>
      <c r="E92" s="16" t="n">
        <v>45357</v>
      </c>
      <c r="F92" s="14" t="s">
        <v>203</v>
      </c>
      <c r="G92" s="14" t="s">
        <v>204</v>
      </c>
      <c r="H92" s="17" t="s">
        <v>207</v>
      </c>
      <c r="I92" s="17" t="n">
        <v>359</v>
      </c>
      <c r="J92" s="17" t="n">
        <v>1.05</v>
      </c>
      <c r="K92" s="17" t="s">
        <v>266</v>
      </c>
      <c r="L92" s="17" t="n">
        <v>14</v>
      </c>
      <c r="M92" s="18" t="n">
        <f aca="false">D92*I92*J92</f>
        <v>17339.7</v>
      </c>
    </row>
    <row r="93" customFormat="false" ht="15" hidden="false" customHeight="false" outlineLevel="0" collapsed="false">
      <c r="A93" s="14" t="s">
        <v>264</v>
      </c>
      <c r="B93" s="14" t="s">
        <v>241</v>
      </c>
      <c r="C93" s="14" t="s">
        <v>265</v>
      </c>
      <c r="D93" s="14" t="n">
        <v>46</v>
      </c>
      <c r="E93" s="16" t="n">
        <v>45357</v>
      </c>
      <c r="F93" s="14" t="s">
        <v>203</v>
      </c>
      <c r="G93" s="14" t="s">
        <v>204</v>
      </c>
      <c r="H93" s="17" t="s">
        <v>209</v>
      </c>
      <c r="I93" s="17" t="n">
        <v>359</v>
      </c>
      <c r="J93" s="17" t="n">
        <v>1.1</v>
      </c>
      <c r="K93" s="17" t="s">
        <v>266</v>
      </c>
      <c r="L93" s="17" t="n">
        <v>14</v>
      </c>
      <c r="M93" s="18" t="n">
        <f aca="false">D93*I93*J93</f>
        <v>18165.4</v>
      </c>
    </row>
    <row r="94" customFormat="false" ht="15" hidden="false" customHeight="false" outlineLevel="0" collapsed="false">
      <c r="A94" s="14" t="s">
        <v>264</v>
      </c>
      <c r="B94" s="14" t="s">
        <v>241</v>
      </c>
      <c r="C94" s="14" t="s">
        <v>267</v>
      </c>
      <c r="D94" s="14" t="n">
        <v>49</v>
      </c>
      <c r="E94" s="16" t="n">
        <v>45357</v>
      </c>
      <c r="F94" s="14" t="s">
        <v>203</v>
      </c>
      <c r="G94" s="14" t="s">
        <v>204</v>
      </c>
      <c r="H94" s="17" t="s">
        <v>205</v>
      </c>
      <c r="I94" s="17" t="n">
        <v>0</v>
      </c>
      <c r="J94" s="17" t="n">
        <v>0</v>
      </c>
      <c r="K94" s="17" t="n">
        <v>0</v>
      </c>
      <c r="L94" s="17" t="n">
        <v>0</v>
      </c>
      <c r="M94" s="18" t="n">
        <f aca="false">D94*I94*J94</f>
        <v>0</v>
      </c>
    </row>
    <row r="95" customFormat="false" ht="15" hidden="false" customHeight="false" outlineLevel="0" collapsed="false">
      <c r="A95" s="14" t="s">
        <v>264</v>
      </c>
      <c r="B95" s="14" t="s">
        <v>241</v>
      </c>
      <c r="C95" s="14" t="s">
        <v>267</v>
      </c>
      <c r="D95" s="14" t="n">
        <v>49</v>
      </c>
      <c r="E95" s="16" t="n">
        <v>45357</v>
      </c>
      <c r="F95" s="14" t="s">
        <v>203</v>
      </c>
      <c r="G95" s="14" t="s">
        <v>204</v>
      </c>
      <c r="H95" s="17" t="s">
        <v>206</v>
      </c>
      <c r="I95" s="17" t="n">
        <v>0</v>
      </c>
      <c r="J95" s="17" t="n">
        <v>0</v>
      </c>
      <c r="K95" s="17" t="n">
        <v>0</v>
      </c>
      <c r="L95" s="17" t="n">
        <v>0</v>
      </c>
      <c r="M95" s="18" t="n">
        <f aca="false">D95*I95*J95</f>
        <v>0</v>
      </c>
    </row>
    <row r="96" customFormat="false" ht="15" hidden="false" customHeight="false" outlineLevel="0" collapsed="false">
      <c r="A96" s="14" t="s">
        <v>264</v>
      </c>
      <c r="B96" s="14" t="s">
        <v>241</v>
      </c>
      <c r="C96" s="14" t="s">
        <v>267</v>
      </c>
      <c r="D96" s="14" t="n">
        <v>49</v>
      </c>
      <c r="E96" s="16" t="n">
        <v>45357</v>
      </c>
      <c r="F96" s="14" t="s">
        <v>203</v>
      </c>
      <c r="G96" s="14" t="s">
        <v>204</v>
      </c>
      <c r="H96" s="17" t="s">
        <v>207</v>
      </c>
      <c r="I96" s="17" t="n">
        <v>704</v>
      </c>
      <c r="J96" s="17" t="n">
        <v>1.15</v>
      </c>
      <c r="K96" s="17" t="s">
        <v>268</v>
      </c>
      <c r="L96" s="17" t="n">
        <v>8</v>
      </c>
      <c r="M96" s="18" t="n">
        <f aca="false">D96*I96*J96</f>
        <v>39670.4</v>
      </c>
    </row>
    <row r="97" customFormat="false" ht="15" hidden="false" customHeight="false" outlineLevel="0" collapsed="false">
      <c r="A97" s="14" t="s">
        <v>264</v>
      </c>
      <c r="B97" s="14" t="s">
        <v>241</v>
      </c>
      <c r="C97" s="14" t="s">
        <v>267</v>
      </c>
      <c r="D97" s="14" t="n">
        <v>49</v>
      </c>
      <c r="E97" s="16" t="n">
        <v>45357</v>
      </c>
      <c r="F97" s="14" t="s">
        <v>203</v>
      </c>
      <c r="G97" s="14" t="s">
        <v>204</v>
      </c>
      <c r="H97" s="17" t="s">
        <v>209</v>
      </c>
      <c r="I97" s="17" t="n">
        <v>0</v>
      </c>
      <c r="J97" s="17" t="n">
        <v>0</v>
      </c>
      <c r="K97" s="17" t="n">
        <v>0</v>
      </c>
      <c r="L97" s="17" t="n">
        <v>0</v>
      </c>
      <c r="M97" s="18" t="n">
        <f aca="false">D97*I97*J97</f>
        <v>0</v>
      </c>
    </row>
    <row r="98" customFormat="false" ht="15" hidden="false" customHeight="false" outlineLevel="0" collapsed="false">
      <c r="A98" s="14" t="s">
        <v>269</v>
      </c>
      <c r="B98" s="14" t="s">
        <v>215</v>
      </c>
      <c r="C98" s="14" t="s">
        <v>270</v>
      </c>
      <c r="D98" s="14" t="n">
        <v>79</v>
      </c>
      <c r="E98" s="16" t="n">
        <v>45358</v>
      </c>
      <c r="F98" s="14" t="s">
        <v>217</v>
      </c>
      <c r="G98" s="14" t="s">
        <v>204</v>
      </c>
      <c r="H98" s="17" t="s">
        <v>205</v>
      </c>
      <c r="I98" s="17" t="n">
        <v>0</v>
      </c>
      <c r="J98" s="17" t="n">
        <v>0</v>
      </c>
      <c r="K98" s="17" t="n">
        <v>0</v>
      </c>
      <c r="L98" s="17" t="n">
        <v>0</v>
      </c>
      <c r="M98" s="18" t="n">
        <f aca="false">D98*I98*J98</f>
        <v>0</v>
      </c>
    </row>
    <row r="99" customFormat="false" ht="15" hidden="false" customHeight="false" outlineLevel="0" collapsed="false">
      <c r="A99" s="14" t="s">
        <v>269</v>
      </c>
      <c r="B99" s="14" t="s">
        <v>215</v>
      </c>
      <c r="C99" s="14" t="s">
        <v>270</v>
      </c>
      <c r="D99" s="14" t="n">
        <v>79</v>
      </c>
      <c r="E99" s="16" t="n">
        <v>45358</v>
      </c>
      <c r="F99" s="14" t="s">
        <v>217</v>
      </c>
      <c r="G99" s="14" t="s">
        <v>204</v>
      </c>
      <c r="H99" s="17" t="s">
        <v>206</v>
      </c>
      <c r="I99" s="17" t="n">
        <v>0</v>
      </c>
      <c r="J99" s="17" t="n">
        <v>0</v>
      </c>
      <c r="K99" s="17" t="n">
        <v>0</v>
      </c>
      <c r="L99" s="17" t="n">
        <v>0</v>
      </c>
      <c r="M99" s="18" t="n">
        <f aca="false">D99*I99*J99</f>
        <v>0</v>
      </c>
    </row>
    <row r="100" customFormat="false" ht="15" hidden="false" customHeight="false" outlineLevel="0" collapsed="false">
      <c r="A100" s="14" t="s">
        <v>269</v>
      </c>
      <c r="B100" s="14" t="s">
        <v>215</v>
      </c>
      <c r="C100" s="14" t="s">
        <v>270</v>
      </c>
      <c r="D100" s="14" t="n">
        <v>79</v>
      </c>
      <c r="E100" s="16" t="n">
        <v>45358</v>
      </c>
      <c r="F100" s="14" t="s">
        <v>217</v>
      </c>
      <c r="G100" s="14" t="s">
        <v>204</v>
      </c>
      <c r="H100" s="17" t="s">
        <v>207</v>
      </c>
      <c r="I100" s="17" t="n">
        <v>862</v>
      </c>
      <c r="J100" s="17" t="n">
        <v>1</v>
      </c>
      <c r="K100" s="17" t="s">
        <v>271</v>
      </c>
      <c r="L100" s="17" t="n">
        <v>33</v>
      </c>
      <c r="M100" s="18" t="n">
        <f aca="false">D100*I100*J100</f>
        <v>68098</v>
      </c>
    </row>
    <row r="101" customFormat="false" ht="15" hidden="false" customHeight="false" outlineLevel="0" collapsed="false">
      <c r="A101" s="14" t="s">
        <v>269</v>
      </c>
      <c r="B101" s="14" t="s">
        <v>215</v>
      </c>
      <c r="C101" s="14" t="s">
        <v>270</v>
      </c>
      <c r="D101" s="14" t="n">
        <v>79</v>
      </c>
      <c r="E101" s="16" t="n">
        <v>45358</v>
      </c>
      <c r="F101" s="14" t="s">
        <v>217</v>
      </c>
      <c r="G101" s="14" t="s">
        <v>204</v>
      </c>
      <c r="H101" s="17" t="s">
        <v>209</v>
      </c>
      <c r="I101" s="17" t="n">
        <v>0</v>
      </c>
      <c r="J101" s="17" t="n">
        <v>0</v>
      </c>
      <c r="K101" s="17" t="n">
        <v>0</v>
      </c>
      <c r="L101" s="17" t="n">
        <v>0</v>
      </c>
      <c r="M101" s="18" t="n">
        <f aca="false">D101*I101*J101</f>
        <v>0</v>
      </c>
    </row>
    <row r="102" customFormat="false" ht="15" hidden="false" customHeight="false" outlineLevel="0" collapsed="false">
      <c r="A102" s="14" t="s">
        <v>269</v>
      </c>
      <c r="B102" s="14" t="s">
        <v>215</v>
      </c>
      <c r="C102" s="14" t="s">
        <v>272</v>
      </c>
      <c r="D102" s="14" t="n">
        <v>3.4</v>
      </c>
      <c r="E102" s="16" t="n">
        <v>45358</v>
      </c>
      <c r="F102" s="14" t="s">
        <v>217</v>
      </c>
      <c r="G102" s="14" t="s">
        <v>204</v>
      </c>
      <c r="H102" s="17" t="s">
        <v>205</v>
      </c>
      <c r="I102" s="17" t="n">
        <v>0</v>
      </c>
      <c r="J102" s="17" t="n">
        <v>0</v>
      </c>
      <c r="K102" s="17" t="n">
        <v>0</v>
      </c>
      <c r="L102" s="17" t="n">
        <v>0</v>
      </c>
      <c r="M102" s="18" t="n">
        <f aca="false">D102*I102*J102</f>
        <v>0</v>
      </c>
    </row>
    <row r="103" customFormat="false" ht="15" hidden="false" customHeight="false" outlineLevel="0" collapsed="false">
      <c r="A103" s="14" t="s">
        <v>269</v>
      </c>
      <c r="B103" s="14" t="s">
        <v>215</v>
      </c>
      <c r="C103" s="14" t="s">
        <v>272</v>
      </c>
      <c r="D103" s="14" t="n">
        <v>3.4</v>
      </c>
      <c r="E103" s="16" t="n">
        <v>45358</v>
      </c>
      <c r="F103" s="14" t="s">
        <v>217</v>
      </c>
      <c r="G103" s="14" t="s">
        <v>204</v>
      </c>
      <c r="H103" s="17" t="s">
        <v>206</v>
      </c>
      <c r="I103" s="17" t="n">
        <v>686</v>
      </c>
      <c r="J103" s="17" t="n">
        <v>1.05</v>
      </c>
      <c r="K103" s="17" t="s">
        <v>273</v>
      </c>
      <c r="L103" s="17" t="n">
        <v>19</v>
      </c>
      <c r="M103" s="18" t="n">
        <f aca="false">D103*I103*J103</f>
        <v>2449.02</v>
      </c>
    </row>
    <row r="104" customFormat="false" ht="15" hidden="false" customHeight="false" outlineLevel="0" collapsed="false">
      <c r="A104" s="14" t="s">
        <v>269</v>
      </c>
      <c r="B104" s="14" t="s">
        <v>215</v>
      </c>
      <c r="C104" s="14" t="s">
        <v>272</v>
      </c>
      <c r="D104" s="14" t="n">
        <v>3.4</v>
      </c>
      <c r="E104" s="16" t="n">
        <v>45358</v>
      </c>
      <c r="F104" s="14" t="s">
        <v>217</v>
      </c>
      <c r="G104" s="14" t="s">
        <v>204</v>
      </c>
      <c r="H104" s="17" t="s">
        <v>207</v>
      </c>
      <c r="I104" s="17" t="n">
        <v>709</v>
      </c>
      <c r="J104" s="17" t="n">
        <v>1.1</v>
      </c>
      <c r="K104" s="17" t="s">
        <v>273</v>
      </c>
      <c r="L104" s="17" t="n">
        <v>20</v>
      </c>
      <c r="M104" s="18" t="n">
        <f aca="false">D104*I104*J104</f>
        <v>2651.66</v>
      </c>
    </row>
    <row r="105" customFormat="false" ht="15" hidden="false" customHeight="false" outlineLevel="0" collapsed="false">
      <c r="A105" s="14" t="s">
        <v>269</v>
      </c>
      <c r="B105" s="14" t="s">
        <v>215</v>
      </c>
      <c r="C105" s="14" t="s">
        <v>272</v>
      </c>
      <c r="D105" s="14" t="n">
        <v>3.4</v>
      </c>
      <c r="E105" s="16" t="n">
        <v>45358</v>
      </c>
      <c r="F105" s="14" t="s">
        <v>217</v>
      </c>
      <c r="G105" s="14" t="s">
        <v>204</v>
      </c>
      <c r="H105" s="17" t="s">
        <v>209</v>
      </c>
      <c r="I105" s="17" t="n">
        <v>0</v>
      </c>
      <c r="J105" s="17" t="n">
        <v>0</v>
      </c>
      <c r="K105" s="17" t="n">
        <v>0</v>
      </c>
      <c r="L105" s="17" t="n">
        <v>0</v>
      </c>
      <c r="M105" s="18" t="n">
        <f aca="false">D105*I105*J105</f>
        <v>0</v>
      </c>
    </row>
    <row r="106" customFormat="false" ht="15" hidden="false" customHeight="false" outlineLevel="0" collapsed="false">
      <c r="A106" s="14" t="s">
        <v>269</v>
      </c>
      <c r="B106" s="14" t="s">
        <v>215</v>
      </c>
      <c r="C106" s="14" t="s">
        <v>274</v>
      </c>
      <c r="D106" s="14" t="n">
        <v>29</v>
      </c>
      <c r="E106" s="16" t="n">
        <v>45358</v>
      </c>
      <c r="F106" s="14" t="s">
        <v>217</v>
      </c>
      <c r="G106" s="14" t="s">
        <v>204</v>
      </c>
      <c r="H106" s="17" t="s">
        <v>205</v>
      </c>
      <c r="I106" s="17" t="n">
        <v>0</v>
      </c>
      <c r="J106" s="17" t="n">
        <v>0</v>
      </c>
      <c r="K106" s="17" t="n">
        <v>0</v>
      </c>
      <c r="L106" s="17" t="n">
        <v>0</v>
      </c>
      <c r="M106" s="18" t="n">
        <f aca="false">D106*I106*J106</f>
        <v>0</v>
      </c>
    </row>
    <row r="107" customFormat="false" ht="15" hidden="false" customHeight="false" outlineLevel="0" collapsed="false">
      <c r="A107" s="14" t="s">
        <v>269</v>
      </c>
      <c r="B107" s="14" t="s">
        <v>215</v>
      </c>
      <c r="C107" s="14" t="s">
        <v>274</v>
      </c>
      <c r="D107" s="14" t="n">
        <v>29</v>
      </c>
      <c r="E107" s="16" t="n">
        <v>45358</v>
      </c>
      <c r="F107" s="14" t="s">
        <v>217</v>
      </c>
      <c r="G107" s="14" t="s">
        <v>204</v>
      </c>
      <c r="H107" s="17" t="s">
        <v>206</v>
      </c>
      <c r="I107" s="17" t="n">
        <v>0</v>
      </c>
      <c r="J107" s="17" t="n">
        <v>0</v>
      </c>
      <c r="K107" s="17" t="n">
        <v>0</v>
      </c>
      <c r="L107" s="17" t="n">
        <v>0</v>
      </c>
      <c r="M107" s="18" t="n">
        <f aca="false">D107*I107*J107</f>
        <v>0</v>
      </c>
    </row>
    <row r="108" customFormat="false" ht="15" hidden="false" customHeight="false" outlineLevel="0" collapsed="false">
      <c r="A108" s="14" t="s">
        <v>269</v>
      </c>
      <c r="B108" s="14" t="s">
        <v>215</v>
      </c>
      <c r="C108" s="14" t="s">
        <v>274</v>
      </c>
      <c r="D108" s="14" t="n">
        <v>29</v>
      </c>
      <c r="E108" s="16" t="n">
        <v>45358</v>
      </c>
      <c r="F108" s="14" t="s">
        <v>217</v>
      </c>
      <c r="G108" s="14" t="s">
        <v>204</v>
      </c>
      <c r="H108" s="17" t="s">
        <v>207</v>
      </c>
      <c r="I108" s="17" t="n">
        <v>0</v>
      </c>
      <c r="J108" s="17" t="n">
        <v>0</v>
      </c>
      <c r="K108" s="17" t="n">
        <v>0</v>
      </c>
      <c r="L108" s="17" t="n">
        <v>0</v>
      </c>
      <c r="M108" s="18" t="n">
        <f aca="false">D108*I108*J108</f>
        <v>0</v>
      </c>
    </row>
    <row r="109" customFormat="false" ht="15" hidden="false" customHeight="false" outlineLevel="0" collapsed="false">
      <c r="A109" s="14" t="s">
        <v>269</v>
      </c>
      <c r="B109" s="14" t="s">
        <v>215</v>
      </c>
      <c r="C109" s="14" t="s">
        <v>274</v>
      </c>
      <c r="D109" s="14" t="n">
        <v>29</v>
      </c>
      <c r="E109" s="16" t="n">
        <v>45358</v>
      </c>
      <c r="F109" s="14" t="s">
        <v>217</v>
      </c>
      <c r="G109" s="14" t="s">
        <v>204</v>
      </c>
      <c r="H109" s="17" t="s">
        <v>209</v>
      </c>
      <c r="I109" s="17" t="n">
        <v>321</v>
      </c>
      <c r="J109" s="17" t="n">
        <v>1</v>
      </c>
      <c r="K109" s="17" t="s">
        <v>275</v>
      </c>
      <c r="L109" s="17" t="n">
        <v>18</v>
      </c>
      <c r="M109" s="18" t="n">
        <f aca="false">D109*I109*J109</f>
        <v>9309</v>
      </c>
    </row>
    <row r="110" customFormat="false" ht="15" hidden="false" customHeight="false" outlineLevel="0" collapsed="false">
      <c r="A110" s="14" t="s">
        <v>269</v>
      </c>
      <c r="B110" s="14" t="s">
        <v>215</v>
      </c>
      <c r="C110" s="14" t="s">
        <v>276</v>
      </c>
      <c r="D110" s="14" t="n">
        <v>35.5</v>
      </c>
      <c r="E110" s="16" t="n">
        <v>45358</v>
      </c>
      <c r="F110" s="14" t="s">
        <v>217</v>
      </c>
      <c r="G110" s="14" t="s">
        <v>204</v>
      </c>
      <c r="H110" s="17" t="s">
        <v>205</v>
      </c>
      <c r="I110" s="17" t="n">
        <v>648</v>
      </c>
      <c r="J110" s="17" t="n">
        <v>1</v>
      </c>
      <c r="K110" s="17" t="s">
        <v>277</v>
      </c>
      <c r="L110" s="17" t="n">
        <v>27</v>
      </c>
      <c r="M110" s="18" t="n">
        <f aca="false">D110*I110*J110</f>
        <v>23004</v>
      </c>
    </row>
    <row r="111" customFormat="false" ht="15" hidden="false" customHeight="false" outlineLevel="0" collapsed="false">
      <c r="A111" s="14" t="s">
        <v>269</v>
      </c>
      <c r="B111" s="14" t="s">
        <v>215</v>
      </c>
      <c r="C111" s="14" t="s">
        <v>276</v>
      </c>
      <c r="D111" s="14" t="n">
        <v>35.5</v>
      </c>
      <c r="E111" s="16" t="n">
        <v>45358</v>
      </c>
      <c r="F111" s="14" t="s">
        <v>217</v>
      </c>
      <c r="G111" s="14" t="s">
        <v>204</v>
      </c>
      <c r="H111" s="17" t="s">
        <v>206</v>
      </c>
      <c r="I111" s="17" t="n">
        <v>0</v>
      </c>
      <c r="J111" s="17" t="n">
        <v>0</v>
      </c>
      <c r="K111" s="17" t="n">
        <v>0</v>
      </c>
      <c r="L111" s="17" t="n">
        <v>0</v>
      </c>
      <c r="M111" s="18" t="n">
        <f aca="false">D111*I111*J111</f>
        <v>0</v>
      </c>
    </row>
    <row r="112" customFormat="false" ht="15" hidden="false" customHeight="false" outlineLevel="0" collapsed="false">
      <c r="A112" s="14" t="s">
        <v>269</v>
      </c>
      <c r="B112" s="14" t="s">
        <v>215</v>
      </c>
      <c r="C112" s="14" t="s">
        <v>276</v>
      </c>
      <c r="D112" s="14" t="n">
        <v>35.5</v>
      </c>
      <c r="E112" s="16" t="n">
        <v>45358</v>
      </c>
      <c r="F112" s="14" t="s">
        <v>217</v>
      </c>
      <c r="G112" s="14" t="s">
        <v>204</v>
      </c>
      <c r="H112" s="17" t="s">
        <v>207</v>
      </c>
      <c r="I112" s="17" t="n">
        <v>0</v>
      </c>
      <c r="J112" s="17" t="n">
        <v>0</v>
      </c>
      <c r="K112" s="17" t="n">
        <v>0</v>
      </c>
      <c r="L112" s="17" t="n">
        <v>0</v>
      </c>
      <c r="M112" s="18" t="n">
        <f aca="false">D112*I112*J112</f>
        <v>0</v>
      </c>
    </row>
    <row r="113" customFormat="false" ht="15" hidden="false" customHeight="false" outlineLevel="0" collapsed="false">
      <c r="A113" s="14" t="s">
        <v>269</v>
      </c>
      <c r="B113" s="14" t="s">
        <v>215</v>
      </c>
      <c r="C113" s="14" t="s">
        <v>276</v>
      </c>
      <c r="D113" s="14" t="n">
        <v>35.5</v>
      </c>
      <c r="E113" s="16" t="n">
        <v>45358</v>
      </c>
      <c r="F113" s="14" t="s">
        <v>217</v>
      </c>
      <c r="G113" s="14" t="s">
        <v>204</v>
      </c>
      <c r="H113" s="17" t="s">
        <v>209</v>
      </c>
      <c r="I113" s="17" t="n">
        <v>0</v>
      </c>
      <c r="J113" s="17" t="n">
        <v>0</v>
      </c>
      <c r="K113" s="17" t="n">
        <v>0</v>
      </c>
      <c r="L113" s="17" t="n">
        <v>0</v>
      </c>
      <c r="M113" s="18" t="n">
        <f aca="false">D113*I113*J113</f>
        <v>0</v>
      </c>
    </row>
    <row r="114" customFormat="false" ht="15" hidden="false" customHeight="false" outlineLevel="0" collapsed="false">
      <c r="A114" s="14" t="s">
        <v>278</v>
      </c>
      <c r="B114" s="14" t="s">
        <v>201</v>
      </c>
      <c r="C114" s="14" t="s">
        <v>279</v>
      </c>
      <c r="D114" s="14" t="n">
        <v>0.4</v>
      </c>
      <c r="E114" s="16" t="n">
        <v>45359</v>
      </c>
      <c r="F114" s="14" t="s">
        <v>232</v>
      </c>
      <c r="G114" s="14" t="s">
        <v>244</v>
      </c>
      <c r="H114" s="17" t="s">
        <v>205</v>
      </c>
      <c r="I114" s="17" t="n">
        <v>0</v>
      </c>
      <c r="J114" s="17" t="n">
        <v>0</v>
      </c>
      <c r="K114" s="17" t="n">
        <v>0</v>
      </c>
      <c r="L114" s="17" t="n">
        <v>0</v>
      </c>
      <c r="M114" s="18" t="n">
        <f aca="false">D114*I114*J114</f>
        <v>0</v>
      </c>
    </row>
    <row r="115" customFormat="false" ht="15" hidden="false" customHeight="false" outlineLevel="0" collapsed="false">
      <c r="A115" s="14" t="s">
        <v>278</v>
      </c>
      <c r="B115" s="14" t="s">
        <v>201</v>
      </c>
      <c r="C115" s="14" t="s">
        <v>279</v>
      </c>
      <c r="D115" s="14" t="n">
        <v>0.4</v>
      </c>
      <c r="E115" s="16" t="n">
        <v>45359</v>
      </c>
      <c r="F115" s="14" t="s">
        <v>232</v>
      </c>
      <c r="G115" s="14" t="s">
        <v>244</v>
      </c>
      <c r="H115" s="17" t="s">
        <v>206</v>
      </c>
      <c r="I115" s="17" t="n">
        <v>0</v>
      </c>
      <c r="J115" s="17" t="n">
        <v>0</v>
      </c>
      <c r="K115" s="17" t="n">
        <v>0</v>
      </c>
      <c r="L115" s="17" t="n">
        <v>0</v>
      </c>
      <c r="M115" s="18" t="n">
        <f aca="false">D115*I115*J115</f>
        <v>0</v>
      </c>
    </row>
    <row r="116" customFormat="false" ht="15" hidden="false" customHeight="false" outlineLevel="0" collapsed="false">
      <c r="A116" s="14" t="s">
        <v>278</v>
      </c>
      <c r="B116" s="14" t="s">
        <v>201</v>
      </c>
      <c r="C116" s="14" t="s">
        <v>279</v>
      </c>
      <c r="D116" s="14" t="n">
        <v>0.4</v>
      </c>
      <c r="E116" s="16" t="n">
        <v>45359</v>
      </c>
      <c r="F116" s="14" t="s">
        <v>232</v>
      </c>
      <c r="G116" s="14" t="s">
        <v>244</v>
      </c>
      <c r="H116" s="17" t="s">
        <v>207</v>
      </c>
      <c r="I116" s="17" t="n">
        <v>858</v>
      </c>
      <c r="J116" s="17" t="n">
        <v>1</v>
      </c>
      <c r="K116" s="17" t="s">
        <v>280</v>
      </c>
      <c r="L116" s="17" t="n">
        <v>13</v>
      </c>
      <c r="M116" s="18" t="n">
        <f aca="false">D116*I116*J116</f>
        <v>343.2</v>
      </c>
    </row>
    <row r="117" customFormat="false" ht="15" hidden="false" customHeight="false" outlineLevel="0" collapsed="false">
      <c r="A117" s="14" t="s">
        <v>278</v>
      </c>
      <c r="B117" s="14" t="s">
        <v>201</v>
      </c>
      <c r="C117" s="14" t="s">
        <v>279</v>
      </c>
      <c r="D117" s="14" t="n">
        <v>0.4</v>
      </c>
      <c r="E117" s="16" t="n">
        <v>45359</v>
      </c>
      <c r="F117" s="14" t="s">
        <v>232</v>
      </c>
      <c r="G117" s="14" t="s">
        <v>244</v>
      </c>
      <c r="H117" s="17" t="s">
        <v>209</v>
      </c>
      <c r="I117" s="17" t="n">
        <v>875</v>
      </c>
      <c r="J117" s="17" t="n">
        <v>1.05</v>
      </c>
      <c r="K117" s="17" t="s">
        <v>280</v>
      </c>
      <c r="L117" s="17" t="n">
        <v>13</v>
      </c>
      <c r="M117" s="18" t="n">
        <f aca="false">D117*I117*J117</f>
        <v>367.5</v>
      </c>
    </row>
    <row r="118" customFormat="false" ht="15" hidden="false" customHeight="false" outlineLevel="0" collapsed="false">
      <c r="A118" s="14" t="s">
        <v>278</v>
      </c>
      <c r="B118" s="14" t="s">
        <v>201</v>
      </c>
      <c r="C118" s="14" t="s">
        <v>281</v>
      </c>
      <c r="D118" s="14" t="n">
        <v>116</v>
      </c>
      <c r="E118" s="16" t="n">
        <v>45359</v>
      </c>
      <c r="F118" s="14" t="s">
        <v>232</v>
      </c>
      <c r="G118" s="14" t="s">
        <v>244</v>
      </c>
      <c r="H118" s="17" t="s">
        <v>205</v>
      </c>
      <c r="I118" s="17" t="n">
        <v>0</v>
      </c>
      <c r="J118" s="17" t="n">
        <v>0</v>
      </c>
      <c r="K118" s="17" t="n">
        <v>0</v>
      </c>
      <c r="L118" s="17" t="n">
        <v>0</v>
      </c>
      <c r="M118" s="18" t="n">
        <f aca="false">D118*I118*J118</f>
        <v>0</v>
      </c>
    </row>
    <row r="119" customFormat="false" ht="15" hidden="false" customHeight="false" outlineLevel="0" collapsed="false">
      <c r="A119" s="14" t="s">
        <v>278</v>
      </c>
      <c r="B119" s="14" t="s">
        <v>201</v>
      </c>
      <c r="C119" s="14" t="s">
        <v>281</v>
      </c>
      <c r="D119" s="14" t="n">
        <v>116</v>
      </c>
      <c r="E119" s="16" t="n">
        <v>45359</v>
      </c>
      <c r="F119" s="14" t="s">
        <v>232</v>
      </c>
      <c r="G119" s="14" t="s">
        <v>244</v>
      </c>
      <c r="H119" s="17" t="s">
        <v>206</v>
      </c>
      <c r="I119" s="17" t="n">
        <v>0</v>
      </c>
      <c r="J119" s="17" t="n">
        <v>0</v>
      </c>
      <c r="K119" s="17" t="n">
        <v>0</v>
      </c>
      <c r="L119" s="17" t="n">
        <v>0</v>
      </c>
      <c r="M119" s="18" t="n">
        <f aca="false">D119*I119*J119</f>
        <v>0</v>
      </c>
    </row>
    <row r="120" customFormat="false" ht="15" hidden="false" customHeight="false" outlineLevel="0" collapsed="false">
      <c r="A120" s="14" t="s">
        <v>278</v>
      </c>
      <c r="B120" s="14" t="s">
        <v>201</v>
      </c>
      <c r="C120" s="14" t="s">
        <v>281</v>
      </c>
      <c r="D120" s="14" t="n">
        <v>116</v>
      </c>
      <c r="E120" s="16" t="n">
        <v>45359</v>
      </c>
      <c r="F120" s="14" t="s">
        <v>232</v>
      </c>
      <c r="G120" s="14" t="s">
        <v>244</v>
      </c>
      <c r="H120" s="17" t="s">
        <v>207</v>
      </c>
      <c r="I120" s="17" t="n">
        <v>394</v>
      </c>
      <c r="J120" s="17" t="n">
        <v>1</v>
      </c>
      <c r="K120" s="17" t="s">
        <v>282</v>
      </c>
      <c r="L120" s="17" t="n">
        <v>9</v>
      </c>
      <c r="M120" s="18" t="n">
        <f aca="false">D120*I120*J120</f>
        <v>45704</v>
      </c>
    </row>
    <row r="121" customFormat="false" ht="15" hidden="false" customHeight="false" outlineLevel="0" collapsed="false">
      <c r="A121" s="14" t="s">
        <v>278</v>
      </c>
      <c r="B121" s="14" t="s">
        <v>201</v>
      </c>
      <c r="C121" s="14" t="s">
        <v>281</v>
      </c>
      <c r="D121" s="14" t="n">
        <v>116</v>
      </c>
      <c r="E121" s="16" t="n">
        <v>45359</v>
      </c>
      <c r="F121" s="14" t="s">
        <v>232</v>
      </c>
      <c r="G121" s="14" t="s">
        <v>244</v>
      </c>
      <c r="H121" s="17" t="s">
        <v>209</v>
      </c>
      <c r="I121" s="17" t="n">
        <v>0</v>
      </c>
      <c r="J121" s="17" t="n">
        <v>0</v>
      </c>
      <c r="K121" s="17" t="n">
        <v>0</v>
      </c>
      <c r="L121" s="17" t="n">
        <v>0</v>
      </c>
      <c r="M121" s="18" t="n">
        <f aca="false">D121*I121*J121</f>
        <v>0</v>
      </c>
    </row>
    <row r="122" customFormat="false" ht="15" hidden="false" customHeight="false" outlineLevel="0" collapsed="false">
      <c r="A122" s="14" t="s">
        <v>278</v>
      </c>
      <c r="B122" s="14" t="s">
        <v>201</v>
      </c>
      <c r="C122" s="14" t="s">
        <v>283</v>
      </c>
      <c r="D122" s="14" t="n">
        <v>89.3</v>
      </c>
      <c r="E122" s="16" t="n">
        <v>45359</v>
      </c>
      <c r="F122" s="14" t="s">
        <v>232</v>
      </c>
      <c r="G122" s="14" t="s">
        <v>244</v>
      </c>
      <c r="H122" s="17" t="s">
        <v>205</v>
      </c>
      <c r="I122" s="17" t="n">
        <v>673</v>
      </c>
      <c r="J122" s="17" t="n">
        <v>1.05</v>
      </c>
      <c r="K122" s="17" t="s">
        <v>284</v>
      </c>
      <c r="L122" s="17" t="n">
        <v>15</v>
      </c>
      <c r="M122" s="18" t="n">
        <f aca="false">D122*I122*J122</f>
        <v>63103.845</v>
      </c>
    </row>
    <row r="123" customFormat="false" ht="15" hidden="false" customHeight="false" outlineLevel="0" collapsed="false">
      <c r="A123" s="14" t="s">
        <v>278</v>
      </c>
      <c r="B123" s="14" t="s">
        <v>201</v>
      </c>
      <c r="C123" s="14" t="s">
        <v>283</v>
      </c>
      <c r="D123" s="14" t="n">
        <v>89.3</v>
      </c>
      <c r="E123" s="16" t="n">
        <v>45359</v>
      </c>
      <c r="F123" s="14" t="s">
        <v>232</v>
      </c>
      <c r="G123" s="14" t="s">
        <v>244</v>
      </c>
      <c r="H123" s="17" t="s">
        <v>206</v>
      </c>
      <c r="I123" s="17" t="n">
        <v>0</v>
      </c>
      <c r="J123" s="17" t="n">
        <v>0</v>
      </c>
      <c r="K123" s="17" t="n">
        <v>0</v>
      </c>
      <c r="L123" s="17" t="n">
        <v>0</v>
      </c>
      <c r="M123" s="18" t="n">
        <f aca="false">D123*I123*J123</f>
        <v>0</v>
      </c>
    </row>
    <row r="124" customFormat="false" ht="15" hidden="false" customHeight="false" outlineLevel="0" collapsed="false">
      <c r="A124" s="14" t="s">
        <v>278</v>
      </c>
      <c r="B124" s="14" t="s">
        <v>201</v>
      </c>
      <c r="C124" s="14" t="s">
        <v>283</v>
      </c>
      <c r="D124" s="14" t="n">
        <v>89.3</v>
      </c>
      <c r="E124" s="16" t="n">
        <v>45359</v>
      </c>
      <c r="F124" s="14" t="s">
        <v>232</v>
      </c>
      <c r="G124" s="14" t="s">
        <v>244</v>
      </c>
      <c r="H124" s="17" t="s">
        <v>207</v>
      </c>
      <c r="I124" s="17" t="n">
        <v>0</v>
      </c>
      <c r="J124" s="17" t="n">
        <v>0</v>
      </c>
      <c r="K124" s="17" t="n">
        <v>0</v>
      </c>
      <c r="L124" s="17" t="n">
        <v>0</v>
      </c>
      <c r="M124" s="18" t="n">
        <f aca="false">D124*I124*J124</f>
        <v>0</v>
      </c>
    </row>
    <row r="125" customFormat="false" ht="15" hidden="false" customHeight="false" outlineLevel="0" collapsed="false">
      <c r="A125" s="14" t="s">
        <v>278</v>
      </c>
      <c r="B125" s="14" t="s">
        <v>201</v>
      </c>
      <c r="C125" s="14" t="s">
        <v>283</v>
      </c>
      <c r="D125" s="14" t="n">
        <v>89.3</v>
      </c>
      <c r="E125" s="16" t="n">
        <v>45359</v>
      </c>
      <c r="F125" s="14" t="s">
        <v>232</v>
      </c>
      <c r="G125" s="14" t="s">
        <v>244</v>
      </c>
      <c r="H125" s="17" t="s">
        <v>209</v>
      </c>
      <c r="I125" s="17" t="n">
        <v>644</v>
      </c>
      <c r="J125" s="17" t="n">
        <v>1</v>
      </c>
      <c r="K125" s="17" t="s">
        <v>284</v>
      </c>
      <c r="L125" s="17" t="n">
        <v>14</v>
      </c>
      <c r="M125" s="18" t="n">
        <f aca="false">D125*I125*J125</f>
        <v>57509.2</v>
      </c>
    </row>
    <row r="126" customFormat="false" ht="15" hidden="false" customHeight="false" outlineLevel="0" collapsed="false">
      <c r="A126" s="14" t="s">
        <v>278</v>
      </c>
      <c r="B126" s="14" t="s">
        <v>201</v>
      </c>
      <c r="C126" s="14" t="s">
        <v>285</v>
      </c>
      <c r="D126" s="14" t="n">
        <v>56</v>
      </c>
      <c r="E126" s="16" t="n">
        <v>45359</v>
      </c>
      <c r="F126" s="14" t="s">
        <v>232</v>
      </c>
      <c r="G126" s="14" t="s">
        <v>244</v>
      </c>
      <c r="H126" s="17" t="s">
        <v>205</v>
      </c>
      <c r="I126" s="17" t="n">
        <v>0</v>
      </c>
      <c r="J126" s="17" t="n">
        <v>0</v>
      </c>
      <c r="K126" s="17" t="n">
        <v>0</v>
      </c>
      <c r="L126" s="17" t="n">
        <v>0</v>
      </c>
      <c r="M126" s="18" t="n">
        <f aca="false">D126*I126*J126</f>
        <v>0</v>
      </c>
    </row>
    <row r="127" customFormat="false" ht="15" hidden="false" customHeight="false" outlineLevel="0" collapsed="false">
      <c r="A127" s="14" t="s">
        <v>278</v>
      </c>
      <c r="B127" s="14" t="s">
        <v>201</v>
      </c>
      <c r="C127" s="14" t="s">
        <v>285</v>
      </c>
      <c r="D127" s="14" t="n">
        <v>56</v>
      </c>
      <c r="E127" s="16" t="n">
        <v>45359</v>
      </c>
      <c r="F127" s="14" t="s">
        <v>232</v>
      </c>
      <c r="G127" s="14" t="s">
        <v>244</v>
      </c>
      <c r="H127" s="17" t="s">
        <v>206</v>
      </c>
      <c r="I127" s="17" t="n">
        <v>0</v>
      </c>
      <c r="J127" s="17" t="n">
        <v>0</v>
      </c>
      <c r="K127" s="17" t="n">
        <v>0</v>
      </c>
      <c r="L127" s="17" t="n">
        <v>0</v>
      </c>
      <c r="M127" s="18" t="n">
        <f aca="false">D127*I127*J127</f>
        <v>0</v>
      </c>
    </row>
    <row r="128" customFormat="false" ht="15" hidden="false" customHeight="false" outlineLevel="0" collapsed="false">
      <c r="A128" s="14" t="s">
        <v>278</v>
      </c>
      <c r="B128" s="14" t="s">
        <v>201</v>
      </c>
      <c r="C128" s="14" t="s">
        <v>285</v>
      </c>
      <c r="D128" s="14" t="n">
        <v>56</v>
      </c>
      <c r="E128" s="16" t="n">
        <v>45359</v>
      </c>
      <c r="F128" s="14" t="s">
        <v>232</v>
      </c>
      <c r="G128" s="14" t="s">
        <v>244</v>
      </c>
      <c r="H128" s="17" t="s">
        <v>207</v>
      </c>
      <c r="I128" s="17" t="n">
        <v>316</v>
      </c>
      <c r="J128" s="17" t="n">
        <v>1</v>
      </c>
      <c r="K128" s="17" t="s">
        <v>286</v>
      </c>
      <c r="L128" s="17" t="n">
        <v>11</v>
      </c>
      <c r="M128" s="18" t="n">
        <f aca="false">D128*I128*J128</f>
        <v>17696</v>
      </c>
    </row>
    <row r="129" customFormat="false" ht="15" hidden="false" customHeight="false" outlineLevel="0" collapsed="false">
      <c r="A129" s="14" t="s">
        <v>278</v>
      </c>
      <c r="B129" s="14" t="s">
        <v>201</v>
      </c>
      <c r="C129" s="14" t="s">
        <v>285</v>
      </c>
      <c r="D129" s="14" t="n">
        <v>56</v>
      </c>
      <c r="E129" s="16" t="n">
        <v>45359</v>
      </c>
      <c r="F129" s="14" t="s">
        <v>232</v>
      </c>
      <c r="G129" s="14" t="s">
        <v>244</v>
      </c>
      <c r="H129" s="17" t="s">
        <v>209</v>
      </c>
      <c r="I129" s="17" t="n">
        <v>335</v>
      </c>
      <c r="J129" s="17" t="n">
        <v>1.05</v>
      </c>
      <c r="K129" s="17" t="s">
        <v>286</v>
      </c>
      <c r="L129" s="17" t="n">
        <v>13</v>
      </c>
      <c r="M129" s="18" t="n">
        <f aca="false">D129*I129*J129</f>
        <v>19698</v>
      </c>
    </row>
    <row r="130" customFormat="false" ht="15" hidden="false" customHeight="false" outlineLevel="0" collapsed="false">
      <c r="A130" s="14" t="s">
        <v>278</v>
      </c>
      <c r="B130" s="14" t="s">
        <v>201</v>
      </c>
      <c r="C130" s="14" t="s">
        <v>287</v>
      </c>
      <c r="D130" s="14" t="n">
        <v>89</v>
      </c>
      <c r="E130" s="16" t="n">
        <v>45359</v>
      </c>
      <c r="F130" s="14" t="s">
        <v>232</v>
      </c>
      <c r="G130" s="14" t="s">
        <v>244</v>
      </c>
      <c r="H130" s="17" t="s">
        <v>205</v>
      </c>
      <c r="I130" s="17" t="n">
        <v>0</v>
      </c>
      <c r="J130" s="17" t="n">
        <v>0</v>
      </c>
      <c r="K130" s="17" t="n">
        <v>0</v>
      </c>
      <c r="L130" s="17" t="n">
        <v>0</v>
      </c>
      <c r="M130" s="18" t="n">
        <f aca="false">D130*I130*J130</f>
        <v>0</v>
      </c>
    </row>
    <row r="131" customFormat="false" ht="15" hidden="false" customHeight="false" outlineLevel="0" collapsed="false">
      <c r="A131" s="14" t="s">
        <v>278</v>
      </c>
      <c r="B131" s="14" t="s">
        <v>201</v>
      </c>
      <c r="C131" s="14" t="s">
        <v>287</v>
      </c>
      <c r="D131" s="14" t="n">
        <v>89</v>
      </c>
      <c r="E131" s="16" t="n">
        <v>45359</v>
      </c>
      <c r="F131" s="14" t="s">
        <v>232</v>
      </c>
      <c r="G131" s="14" t="s">
        <v>244</v>
      </c>
      <c r="H131" s="17" t="s">
        <v>206</v>
      </c>
      <c r="I131" s="17" t="n">
        <v>754</v>
      </c>
      <c r="J131" s="17" t="n">
        <v>1</v>
      </c>
      <c r="K131" s="17" t="s">
        <v>288</v>
      </c>
      <c r="L131" s="17" t="n">
        <v>36</v>
      </c>
      <c r="M131" s="18" t="n">
        <f aca="false">D131*I131*J131</f>
        <v>67106</v>
      </c>
    </row>
    <row r="132" customFormat="false" ht="15" hidden="false" customHeight="false" outlineLevel="0" collapsed="false">
      <c r="A132" s="14" t="s">
        <v>278</v>
      </c>
      <c r="B132" s="14" t="s">
        <v>201</v>
      </c>
      <c r="C132" s="14" t="s">
        <v>287</v>
      </c>
      <c r="D132" s="14" t="n">
        <v>89</v>
      </c>
      <c r="E132" s="16" t="n">
        <v>45359</v>
      </c>
      <c r="F132" s="14" t="s">
        <v>232</v>
      </c>
      <c r="G132" s="14" t="s">
        <v>244</v>
      </c>
      <c r="H132" s="17" t="s">
        <v>207</v>
      </c>
      <c r="I132" s="17" t="n">
        <v>0</v>
      </c>
      <c r="J132" s="17" t="n">
        <v>0</v>
      </c>
      <c r="K132" s="17" t="n">
        <v>0</v>
      </c>
      <c r="L132" s="17" t="n">
        <v>0</v>
      </c>
      <c r="M132" s="18" t="n">
        <f aca="false">D132*I132*J132</f>
        <v>0</v>
      </c>
    </row>
    <row r="133" customFormat="false" ht="15" hidden="false" customHeight="false" outlineLevel="0" collapsed="false">
      <c r="A133" s="14" t="s">
        <v>278</v>
      </c>
      <c r="B133" s="14" t="s">
        <v>201</v>
      </c>
      <c r="C133" s="14" t="s">
        <v>287</v>
      </c>
      <c r="D133" s="14" t="n">
        <v>89</v>
      </c>
      <c r="E133" s="16" t="n">
        <v>45359</v>
      </c>
      <c r="F133" s="14" t="s">
        <v>232</v>
      </c>
      <c r="G133" s="14" t="s">
        <v>244</v>
      </c>
      <c r="H133" s="17" t="s">
        <v>209</v>
      </c>
      <c r="I133" s="17" t="n">
        <v>0</v>
      </c>
      <c r="J133" s="17" t="n">
        <v>0</v>
      </c>
      <c r="K133" s="17" t="n">
        <v>0</v>
      </c>
      <c r="L133" s="17" t="n">
        <v>0</v>
      </c>
      <c r="M133" s="18" t="n">
        <f aca="false">D133*I133*J133</f>
        <v>0</v>
      </c>
    </row>
    <row r="134" customFormat="false" ht="15" hidden="false" customHeight="false" outlineLevel="0" collapsed="false">
      <c r="A134" s="14" t="s">
        <v>289</v>
      </c>
      <c r="B134" s="14" t="s">
        <v>241</v>
      </c>
      <c r="C134" s="14" t="s">
        <v>265</v>
      </c>
      <c r="D134" s="14" t="n">
        <v>66</v>
      </c>
      <c r="E134" s="16" t="n">
        <v>45360</v>
      </c>
      <c r="F134" s="14" t="s">
        <v>243</v>
      </c>
      <c r="G134" s="14" t="s">
        <v>204</v>
      </c>
      <c r="H134" s="17" t="s">
        <v>205</v>
      </c>
      <c r="I134" s="17" t="n">
        <v>350</v>
      </c>
      <c r="J134" s="17" t="n">
        <v>1.15</v>
      </c>
      <c r="K134" s="17" t="s">
        <v>266</v>
      </c>
      <c r="L134" s="17" t="n">
        <v>14</v>
      </c>
      <c r="M134" s="18" t="n">
        <f aca="false">D134*I134*J134</f>
        <v>26565</v>
      </c>
    </row>
    <row r="135" customFormat="false" ht="15" hidden="false" customHeight="false" outlineLevel="0" collapsed="false">
      <c r="A135" s="14" t="s">
        <v>289</v>
      </c>
      <c r="B135" s="14" t="s">
        <v>241</v>
      </c>
      <c r="C135" s="14" t="s">
        <v>265</v>
      </c>
      <c r="D135" s="14" t="n">
        <v>66</v>
      </c>
      <c r="E135" s="16" t="n">
        <v>45360</v>
      </c>
      <c r="F135" s="14" t="s">
        <v>243</v>
      </c>
      <c r="G135" s="14" t="s">
        <v>204</v>
      </c>
      <c r="H135" s="17" t="s">
        <v>206</v>
      </c>
      <c r="I135" s="17" t="n">
        <v>355</v>
      </c>
      <c r="J135" s="17" t="n">
        <v>1</v>
      </c>
      <c r="K135" s="17" t="s">
        <v>266</v>
      </c>
      <c r="L135" s="17" t="n">
        <v>14</v>
      </c>
      <c r="M135" s="18" t="n">
        <f aca="false">D135*I135*J135</f>
        <v>23430</v>
      </c>
    </row>
    <row r="136" customFormat="false" ht="15" hidden="false" customHeight="false" outlineLevel="0" collapsed="false">
      <c r="A136" s="14" t="s">
        <v>289</v>
      </c>
      <c r="B136" s="14" t="s">
        <v>241</v>
      </c>
      <c r="C136" s="14" t="s">
        <v>265</v>
      </c>
      <c r="D136" s="14" t="n">
        <v>66</v>
      </c>
      <c r="E136" s="16" t="n">
        <v>45360</v>
      </c>
      <c r="F136" s="14" t="s">
        <v>243</v>
      </c>
      <c r="G136" s="14" t="s">
        <v>204</v>
      </c>
      <c r="H136" s="17" t="s">
        <v>207</v>
      </c>
      <c r="I136" s="17" t="n">
        <v>359</v>
      </c>
      <c r="J136" s="17" t="n">
        <v>1.05</v>
      </c>
      <c r="K136" s="17" t="s">
        <v>266</v>
      </c>
      <c r="L136" s="17" t="n">
        <v>14</v>
      </c>
      <c r="M136" s="18" t="n">
        <f aca="false">D136*I136*J136</f>
        <v>24878.7</v>
      </c>
    </row>
    <row r="137" customFormat="false" ht="15" hidden="false" customHeight="false" outlineLevel="0" collapsed="false">
      <c r="A137" s="14" t="s">
        <v>289</v>
      </c>
      <c r="B137" s="14" t="s">
        <v>241</v>
      </c>
      <c r="C137" s="14" t="s">
        <v>265</v>
      </c>
      <c r="D137" s="14" t="n">
        <v>66</v>
      </c>
      <c r="E137" s="16" t="n">
        <v>45360</v>
      </c>
      <c r="F137" s="14" t="s">
        <v>243</v>
      </c>
      <c r="G137" s="14" t="s">
        <v>204</v>
      </c>
      <c r="H137" s="17" t="s">
        <v>209</v>
      </c>
      <c r="I137" s="17" t="n">
        <v>359</v>
      </c>
      <c r="J137" s="17" t="n">
        <v>1.1</v>
      </c>
      <c r="K137" s="17" t="s">
        <v>266</v>
      </c>
      <c r="L137" s="17" t="n">
        <v>14</v>
      </c>
      <c r="M137" s="18" t="n">
        <f aca="false">D137*I137*J137</f>
        <v>26063.4</v>
      </c>
    </row>
    <row r="138" customFormat="false" ht="15" hidden="false" customHeight="false" outlineLevel="0" collapsed="false">
      <c r="A138" s="14" t="s">
        <v>289</v>
      </c>
      <c r="B138" s="14" t="s">
        <v>241</v>
      </c>
      <c r="C138" s="14" t="s">
        <v>267</v>
      </c>
      <c r="D138" s="14" t="n">
        <v>69</v>
      </c>
      <c r="E138" s="16" t="n">
        <v>45360</v>
      </c>
      <c r="F138" s="14" t="s">
        <v>243</v>
      </c>
      <c r="G138" s="14" t="s">
        <v>204</v>
      </c>
      <c r="H138" s="17" t="s">
        <v>205</v>
      </c>
      <c r="I138" s="17" t="n">
        <v>0</v>
      </c>
      <c r="J138" s="17" t="n">
        <v>0</v>
      </c>
      <c r="K138" s="17" t="n">
        <v>0</v>
      </c>
      <c r="L138" s="17" t="n">
        <v>0</v>
      </c>
      <c r="M138" s="18" t="n">
        <f aca="false">D138*I138*J138</f>
        <v>0</v>
      </c>
    </row>
    <row r="139" customFormat="false" ht="15" hidden="false" customHeight="false" outlineLevel="0" collapsed="false">
      <c r="A139" s="14" t="s">
        <v>289</v>
      </c>
      <c r="B139" s="14" t="s">
        <v>241</v>
      </c>
      <c r="C139" s="14" t="s">
        <v>267</v>
      </c>
      <c r="D139" s="14" t="n">
        <v>69</v>
      </c>
      <c r="E139" s="16" t="n">
        <v>45360</v>
      </c>
      <c r="F139" s="14" t="s">
        <v>243</v>
      </c>
      <c r="G139" s="14" t="s">
        <v>204</v>
      </c>
      <c r="H139" s="17" t="s">
        <v>206</v>
      </c>
      <c r="I139" s="17" t="n">
        <v>0</v>
      </c>
      <c r="J139" s="17" t="n">
        <v>0</v>
      </c>
      <c r="K139" s="17" t="n">
        <v>0</v>
      </c>
      <c r="L139" s="17" t="n">
        <v>0</v>
      </c>
      <c r="M139" s="18" t="n">
        <f aca="false">D139*I139*J139</f>
        <v>0</v>
      </c>
    </row>
    <row r="140" customFormat="false" ht="15" hidden="false" customHeight="false" outlineLevel="0" collapsed="false">
      <c r="A140" s="14" t="s">
        <v>289</v>
      </c>
      <c r="B140" s="14" t="s">
        <v>241</v>
      </c>
      <c r="C140" s="14" t="s">
        <v>267</v>
      </c>
      <c r="D140" s="14" t="n">
        <v>69</v>
      </c>
      <c r="E140" s="16" t="n">
        <v>45360</v>
      </c>
      <c r="F140" s="14" t="s">
        <v>243</v>
      </c>
      <c r="G140" s="14" t="s">
        <v>204</v>
      </c>
      <c r="H140" s="17" t="s">
        <v>207</v>
      </c>
      <c r="I140" s="17" t="n">
        <v>704</v>
      </c>
      <c r="J140" s="17" t="n">
        <v>1.15</v>
      </c>
      <c r="K140" s="17" t="s">
        <v>268</v>
      </c>
      <c r="L140" s="17" t="n">
        <v>8</v>
      </c>
      <c r="M140" s="18" t="n">
        <f aca="false">D140*I140*J140</f>
        <v>55862.4</v>
      </c>
    </row>
    <row r="141" customFormat="false" ht="15" hidden="false" customHeight="false" outlineLevel="0" collapsed="false">
      <c r="A141" s="14" t="s">
        <v>289</v>
      </c>
      <c r="B141" s="14" t="s">
        <v>241</v>
      </c>
      <c r="C141" s="14" t="s">
        <v>267</v>
      </c>
      <c r="D141" s="14" t="n">
        <v>69</v>
      </c>
      <c r="E141" s="16" t="n">
        <v>45360</v>
      </c>
      <c r="F141" s="14" t="s">
        <v>243</v>
      </c>
      <c r="G141" s="14" t="s">
        <v>204</v>
      </c>
      <c r="H141" s="17" t="s">
        <v>209</v>
      </c>
      <c r="I141" s="17" t="n">
        <v>0</v>
      </c>
      <c r="J141" s="17" t="n">
        <v>0</v>
      </c>
      <c r="K141" s="17" t="n">
        <v>0</v>
      </c>
      <c r="L141" s="17" t="n">
        <v>0</v>
      </c>
      <c r="M141" s="18" t="n">
        <f aca="false">D141*I141*J141</f>
        <v>0</v>
      </c>
    </row>
    <row r="142" customFormat="false" ht="15" hidden="false" customHeight="false" outlineLevel="0" collapsed="false">
      <c r="A142" s="14" t="s">
        <v>289</v>
      </c>
      <c r="B142" s="14" t="s">
        <v>241</v>
      </c>
      <c r="C142" s="14" t="s">
        <v>290</v>
      </c>
      <c r="D142" s="14" t="n">
        <v>60</v>
      </c>
      <c r="E142" s="16" t="n">
        <v>45360</v>
      </c>
      <c r="F142" s="14" t="s">
        <v>243</v>
      </c>
      <c r="G142" s="14" t="s">
        <v>204</v>
      </c>
      <c r="H142" s="17" t="s">
        <v>205</v>
      </c>
      <c r="I142" s="17" t="n">
        <v>380</v>
      </c>
      <c r="J142" s="17" t="n">
        <v>1.1</v>
      </c>
      <c r="K142" s="17" t="s">
        <v>291</v>
      </c>
      <c r="L142" s="17" t="n">
        <v>19</v>
      </c>
      <c r="M142" s="18" t="n">
        <f aca="false">D142*I142*J142</f>
        <v>25080</v>
      </c>
    </row>
    <row r="143" customFormat="false" ht="15" hidden="false" customHeight="false" outlineLevel="0" collapsed="false">
      <c r="A143" s="14" t="s">
        <v>289</v>
      </c>
      <c r="B143" s="14" t="s">
        <v>241</v>
      </c>
      <c r="C143" s="14" t="s">
        <v>290</v>
      </c>
      <c r="D143" s="14" t="n">
        <v>60</v>
      </c>
      <c r="E143" s="16" t="n">
        <v>45360</v>
      </c>
      <c r="F143" s="14" t="s">
        <v>243</v>
      </c>
      <c r="G143" s="14" t="s">
        <v>204</v>
      </c>
      <c r="H143" s="17" t="s">
        <v>206</v>
      </c>
      <c r="I143" s="17" t="n">
        <v>0</v>
      </c>
      <c r="J143" s="17" t="n">
        <v>0</v>
      </c>
      <c r="K143" s="17" t="n">
        <v>0</v>
      </c>
      <c r="L143" s="17" t="n">
        <v>0</v>
      </c>
      <c r="M143" s="18" t="n">
        <f aca="false">D143*I143*J143</f>
        <v>0</v>
      </c>
    </row>
    <row r="144" customFormat="false" ht="15" hidden="false" customHeight="false" outlineLevel="0" collapsed="false">
      <c r="A144" s="14" t="s">
        <v>289</v>
      </c>
      <c r="B144" s="14" t="s">
        <v>241</v>
      </c>
      <c r="C144" s="14" t="s">
        <v>290</v>
      </c>
      <c r="D144" s="14" t="n">
        <v>60</v>
      </c>
      <c r="E144" s="16" t="n">
        <v>45360</v>
      </c>
      <c r="F144" s="14" t="s">
        <v>243</v>
      </c>
      <c r="G144" s="14" t="s">
        <v>204</v>
      </c>
      <c r="H144" s="17" t="s">
        <v>207</v>
      </c>
      <c r="I144" s="17" t="n">
        <v>0</v>
      </c>
      <c r="J144" s="17" t="n">
        <v>0</v>
      </c>
      <c r="K144" s="17" t="n">
        <v>0</v>
      </c>
      <c r="L144" s="17" t="n">
        <v>0</v>
      </c>
      <c r="M144" s="18" t="n">
        <f aca="false">D144*I144*J144</f>
        <v>0</v>
      </c>
    </row>
    <row r="145" customFormat="false" ht="15" hidden="false" customHeight="false" outlineLevel="0" collapsed="false">
      <c r="A145" s="14" t="s">
        <v>289</v>
      </c>
      <c r="B145" s="14" t="s">
        <v>241</v>
      </c>
      <c r="C145" s="14" t="s">
        <v>290</v>
      </c>
      <c r="D145" s="14" t="n">
        <v>60</v>
      </c>
      <c r="E145" s="16" t="n">
        <v>45360</v>
      </c>
      <c r="F145" s="14" t="s">
        <v>243</v>
      </c>
      <c r="G145" s="14" t="s">
        <v>204</v>
      </c>
      <c r="H145" s="17" t="s">
        <v>209</v>
      </c>
      <c r="I145" s="17" t="n">
        <v>250</v>
      </c>
      <c r="J145" s="17" t="n">
        <v>1.05</v>
      </c>
      <c r="K145" s="17" t="s">
        <v>291</v>
      </c>
      <c r="L145" s="17" t="n">
        <v>17</v>
      </c>
      <c r="M145" s="18" t="n">
        <f aca="false">D145*I145*J145</f>
        <v>15750</v>
      </c>
    </row>
    <row r="146" customFormat="false" ht="15" hidden="false" customHeight="false" outlineLevel="0" collapsed="false">
      <c r="A146" s="14" t="s">
        <v>289</v>
      </c>
      <c r="B146" s="14" t="s">
        <v>241</v>
      </c>
      <c r="C146" s="14" t="s">
        <v>292</v>
      </c>
      <c r="D146" s="14" t="n">
        <v>4.6</v>
      </c>
      <c r="E146" s="16" t="n">
        <v>45360</v>
      </c>
      <c r="F146" s="14" t="s">
        <v>243</v>
      </c>
      <c r="G146" s="14" t="s">
        <v>204</v>
      </c>
      <c r="H146" s="17" t="s">
        <v>205</v>
      </c>
      <c r="I146" s="17" t="n">
        <v>971</v>
      </c>
      <c r="J146" s="17" t="n">
        <v>1.05</v>
      </c>
      <c r="K146" s="17" t="s">
        <v>293</v>
      </c>
      <c r="L146" s="17" t="n">
        <v>16</v>
      </c>
      <c r="M146" s="18" t="n">
        <f aca="false">D146*I146*J146</f>
        <v>4689.93</v>
      </c>
    </row>
    <row r="147" customFormat="false" ht="15" hidden="false" customHeight="false" outlineLevel="0" collapsed="false">
      <c r="A147" s="14" t="s">
        <v>289</v>
      </c>
      <c r="B147" s="14" t="s">
        <v>241</v>
      </c>
      <c r="C147" s="14" t="s">
        <v>292</v>
      </c>
      <c r="D147" s="14" t="n">
        <v>4.6</v>
      </c>
      <c r="E147" s="16" t="n">
        <v>45360</v>
      </c>
      <c r="F147" s="14" t="s">
        <v>243</v>
      </c>
      <c r="G147" s="14" t="s">
        <v>204</v>
      </c>
      <c r="H147" s="17" t="s">
        <v>206</v>
      </c>
      <c r="I147" s="17" t="n">
        <v>0</v>
      </c>
      <c r="J147" s="17" t="n">
        <v>0</v>
      </c>
      <c r="K147" s="17" t="n">
        <v>0</v>
      </c>
      <c r="L147" s="17" t="n">
        <v>0</v>
      </c>
      <c r="M147" s="18" t="n">
        <f aca="false">D147*I147*J147</f>
        <v>0</v>
      </c>
    </row>
    <row r="148" customFormat="false" ht="15" hidden="false" customHeight="false" outlineLevel="0" collapsed="false">
      <c r="A148" s="14" t="s">
        <v>289</v>
      </c>
      <c r="B148" s="14" t="s">
        <v>241</v>
      </c>
      <c r="C148" s="14" t="s">
        <v>292</v>
      </c>
      <c r="D148" s="14" t="n">
        <v>4.6</v>
      </c>
      <c r="E148" s="16" t="n">
        <v>45360</v>
      </c>
      <c r="F148" s="14" t="s">
        <v>243</v>
      </c>
      <c r="G148" s="14" t="s">
        <v>204</v>
      </c>
      <c r="H148" s="17" t="s">
        <v>207</v>
      </c>
      <c r="I148" s="17" t="n">
        <v>0</v>
      </c>
      <c r="J148" s="17" t="n">
        <v>0</v>
      </c>
      <c r="K148" s="17" t="n">
        <v>0</v>
      </c>
      <c r="L148" s="17" t="n">
        <v>0</v>
      </c>
      <c r="M148" s="18" t="n">
        <f aca="false">D148*I148*J148</f>
        <v>0</v>
      </c>
    </row>
    <row r="149" customFormat="false" ht="15" hidden="false" customHeight="false" outlineLevel="0" collapsed="false">
      <c r="A149" s="14" t="s">
        <v>289</v>
      </c>
      <c r="B149" s="14" t="s">
        <v>241</v>
      </c>
      <c r="C149" s="14" t="s">
        <v>292</v>
      </c>
      <c r="D149" s="14" t="n">
        <v>4.6</v>
      </c>
      <c r="E149" s="16" t="n">
        <v>45360</v>
      </c>
      <c r="F149" s="14" t="s">
        <v>243</v>
      </c>
      <c r="G149" s="14" t="s">
        <v>204</v>
      </c>
      <c r="H149" s="17" t="s">
        <v>209</v>
      </c>
      <c r="I149" s="17" t="n">
        <v>0</v>
      </c>
      <c r="J149" s="17" t="n">
        <v>0</v>
      </c>
      <c r="K149" s="17" t="n">
        <v>0</v>
      </c>
      <c r="L149" s="17" t="n">
        <v>0</v>
      </c>
      <c r="M149" s="18" t="n">
        <f aca="false">D149*I149*J149</f>
        <v>0</v>
      </c>
    </row>
    <row r="150" customFormat="false" ht="15" hidden="false" customHeight="false" outlineLevel="0" collapsed="false">
      <c r="A150" s="14" t="s">
        <v>289</v>
      </c>
      <c r="B150" s="14" t="s">
        <v>241</v>
      </c>
      <c r="C150" s="14" t="s">
        <v>294</v>
      </c>
      <c r="D150" s="14" t="n">
        <v>25</v>
      </c>
      <c r="E150" s="16" t="n">
        <v>45360</v>
      </c>
      <c r="F150" s="14" t="s">
        <v>243</v>
      </c>
      <c r="G150" s="14" t="s">
        <v>204</v>
      </c>
      <c r="H150" s="17" t="s">
        <v>205</v>
      </c>
      <c r="I150" s="17" t="n">
        <v>0</v>
      </c>
      <c r="J150" s="17" t="n">
        <v>0</v>
      </c>
      <c r="K150" s="17" t="n">
        <v>0</v>
      </c>
      <c r="L150" s="17" t="n">
        <v>0</v>
      </c>
      <c r="M150" s="18" t="n">
        <f aca="false">D150*I150*J150</f>
        <v>0</v>
      </c>
    </row>
    <row r="151" customFormat="false" ht="15" hidden="false" customHeight="false" outlineLevel="0" collapsed="false">
      <c r="A151" s="14" t="s">
        <v>289</v>
      </c>
      <c r="B151" s="14" t="s">
        <v>241</v>
      </c>
      <c r="C151" s="14" t="s">
        <v>294</v>
      </c>
      <c r="D151" s="14" t="n">
        <v>25</v>
      </c>
      <c r="E151" s="16" t="n">
        <v>45360</v>
      </c>
      <c r="F151" s="14" t="s">
        <v>243</v>
      </c>
      <c r="G151" s="14" t="s">
        <v>204</v>
      </c>
      <c r="H151" s="17" t="s">
        <v>206</v>
      </c>
      <c r="I151" s="17" t="n">
        <v>0</v>
      </c>
      <c r="J151" s="17" t="n">
        <v>0</v>
      </c>
      <c r="K151" s="17" t="n">
        <v>0</v>
      </c>
      <c r="L151" s="17" t="n">
        <v>0</v>
      </c>
      <c r="M151" s="18" t="n">
        <f aca="false">D151*I151*J151</f>
        <v>0</v>
      </c>
    </row>
    <row r="152" customFormat="false" ht="15" hidden="false" customHeight="false" outlineLevel="0" collapsed="false">
      <c r="A152" s="14" t="s">
        <v>289</v>
      </c>
      <c r="B152" s="14" t="s">
        <v>241</v>
      </c>
      <c r="C152" s="14" t="s">
        <v>294</v>
      </c>
      <c r="D152" s="14" t="n">
        <v>25</v>
      </c>
      <c r="E152" s="16" t="n">
        <v>45360</v>
      </c>
      <c r="F152" s="14" t="s">
        <v>243</v>
      </c>
      <c r="G152" s="14" t="s">
        <v>204</v>
      </c>
      <c r="H152" s="17" t="s">
        <v>207</v>
      </c>
      <c r="I152" s="17" t="n">
        <v>251</v>
      </c>
      <c r="J152" s="17" t="n">
        <v>1</v>
      </c>
      <c r="K152" s="17" t="s">
        <v>295</v>
      </c>
      <c r="L152" s="17" t="n">
        <v>9</v>
      </c>
      <c r="M152" s="18" t="n">
        <f aca="false">D152*I152*J152</f>
        <v>6275</v>
      </c>
    </row>
    <row r="153" customFormat="false" ht="15" hidden="false" customHeight="false" outlineLevel="0" collapsed="false">
      <c r="A153" s="14" t="s">
        <v>289</v>
      </c>
      <c r="B153" s="14" t="s">
        <v>241</v>
      </c>
      <c r="C153" s="14" t="s">
        <v>294</v>
      </c>
      <c r="D153" s="14" t="n">
        <v>25</v>
      </c>
      <c r="E153" s="16" t="n">
        <v>45360</v>
      </c>
      <c r="F153" s="14" t="s">
        <v>243</v>
      </c>
      <c r="G153" s="14" t="s">
        <v>204</v>
      </c>
      <c r="H153" s="17" t="s">
        <v>209</v>
      </c>
      <c r="I153" s="17" t="n">
        <v>0</v>
      </c>
      <c r="J153" s="17" t="n">
        <v>0</v>
      </c>
      <c r="K153" s="17" t="n">
        <v>0</v>
      </c>
      <c r="L153" s="17" t="n">
        <v>0</v>
      </c>
      <c r="M153" s="18" t="n">
        <f aca="false">D153*I153*J153</f>
        <v>0</v>
      </c>
    </row>
    <row r="154" customFormat="false" ht="15" hidden="false" customHeight="false" outlineLevel="0" collapsed="false">
      <c r="A154" s="14" t="s">
        <v>289</v>
      </c>
      <c r="B154" s="14" t="s">
        <v>241</v>
      </c>
      <c r="C154" s="14" t="s">
        <v>296</v>
      </c>
      <c r="D154" s="14" t="n">
        <v>10</v>
      </c>
      <c r="E154" s="16" t="n">
        <v>45360</v>
      </c>
      <c r="F154" s="14" t="s">
        <v>243</v>
      </c>
      <c r="G154" s="14" t="s">
        <v>204</v>
      </c>
      <c r="H154" s="17" t="s">
        <v>205</v>
      </c>
      <c r="I154" s="17" t="n">
        <v>0</v>
      </c>
      <c r="J154" s="17" t="n">
        <v>0</v>
      </c>
      <c r="K154" s="17" t="n">
        <v>0</v>
      </c>
      <c r="L154" s="17" t="n">
        <v>0</v>
      </c>
      <c r="M154" s="18" t="n">
        <f aca="false">D154*I154*J154</f>
        <v>0</v>
      </c>
    </row>
    <row r="155" customFormat="false" ht="15" hidden="false" customHeight="false" outlineLevel="0" collapsed="false">
      <c r="A155" s="14" t="s">
        <v>289</v>
      </c>
      <c r="B155" s="14" t="s">
        <v>241</v>
      </c>
      <c r="C155" s="14" t="s">
        <v>296</v>
      </c>
      <c r="D155" s="14" t="n">
        <v>10</v>
      </c>
      <c r="E155" s="16" t="n">
        <v>45360</v>
      </c>
      <c r="F155" s="14" t="s">
        <v>243</v>
      </c>
      <c r="G155" s="14" t="s">
        <v>204</v>
      </c>
      <c r="H155" s="17" t="s">
        <v>206</v>
      </c>
      <c r="I155" s="17" t="n">
        <v>400</v>
      </c>
      <c r="J155" s="17" t="n">
        <v>1</v>
      </c>
      <c r="K155" s="17" t="s">
        <v>297</v>
      </c>
      <c r="L155" s="17" t="n">
        <v>35</v>
      </c>
      <c r="M155" s="18" t="n">
        <f aca="false">D155*I155*J155</f>
        <v>4000</v>
      </c>
    </row>
    <row r="156" customFormat="false" ht="15" hidden="false" customHeight="false" outlineLevel="0" collapsed="false">
      <c r="A156" s="14" t="s">
        <v>289</v>
      </c>
      <c r="B156" s="14" t="s">
        <v>241</v>
      </c>
      <c r="C156" s="14" t="s">
        <v>296</v>
      </c>
      <c r="D156" s="14" t="n">
        <v>10</v>
      </c>
      <c r="E156" s="16" t="n">
        <v>45360</v>
      </c>
      <c r="F156" s="14" t="s">
        <v>243</v>
      </c>
      <c r="G156" s="14" t="s">
        <v>204</v>
      </c>
      <c r="H156" s="17" t="s">
        <v>207</v>
      </c>
      <c r="I156" s="17" t="n">
        <v>0</v>
      </c>
      <c r="J156" s="17" t="n">
        <v>0</v>
      </c>
      <c r="K156" s="17" t="n">
        <v>0</v>
      </c>
      <c r="L156" s="17" t="n">
        <v>0</v>
      </c>
      <c r="M156" s="18" t="n">
        <f aca="false">D156*I156*J156</f>
        <v>0</v>
      </c>
    </row>
    <row r="157" customFormat="false" ht="15" hidden="false" customHeight="false" outlineLevel="0" collapsed="false">
      <c r="A157" s="14" t="s">
        <v>289</v>
      </c>
      <c r="B157" s="14" t="s">
        <v>241</v>
      </c>
      <c r="C157" s="14" t="s">
        <v>296</v>
      </c>
      <c r="D157" s="14" t="n">
        <v>10</v>
      </c>
      <c r="E157" s="16" t="n">
        <v>45360</v>
      </c>
      <c r="F157" s="14" t="s">
        <v>243</v>
      </c>
      <c r="G157" s="14" t="s">
        <v>204</v>
      </c>
      <c r="H157" s="17" t="s">
        <v>209</v>
      </c>
      <c r="I157" s="17" t="n">
        <v>0</v>
      </c>
      <c r="J157" s="17" t="n">
        <v>0</v>
      </c>
      <c r="K157" s="17" t="n">
        <v>0</v>
      </c>
      <c r="L157" s="17" t="n">
        <v>0</v>
      </c>
      <c r="M157" s="18" t="n">
        <f aca="false">D157*I157*J157</f>
        <v>0</v>
      </c>
    </row>
    <row r="158" customFormat="false" ht="15" hidden="false" customHeight="false" outlineLevel="0" collapsed="false">
      <c r="A158" s="14" t="s">
        <v>298</v>
      </c>
      <c r="B158" s="14" t="s">
        <v>299</v>
      </c>
      <c r="C158" s="14" t="s">
        <v>300</v>
      </c>
      <c r="D158" s="14" t="n">
        <v>25.8</v>
      </c>
      <c r="E158" s="16" t="n">
        <v>45361</v>
      </c>
      <c r="F158" s="14" t="s">
        <v>252</v>
      </c>
      <c r="G158" s="14" t="s">
        <v>204</v>
      </c>
      <c r="H158" s="17" t="s">
        <v>205</v>
      </c>
      <c r="I158" s="17" t="n">
        <v>0</v>
      </c>
      <c r="J158" s="17" t="n">
        <v>0</v>
      </c>
      <c r="K158" s="17" t="n">
        <v>0</v>
      </c>
      <c r="L158" s="17" t="n">
        <v>0</v>
      </c>
      <c r="M158" s="18" t="n">
        <f aca="false">D158*I158*J158</f>
        <v>0</v>
      </c>
    </row>
    <row r="159" customFormat="false" ht="15" hidden="false" customHeight="false" outlineLevel="0" collapsed="false">
      <c r="A159" s="14" t="s">
        <v>298</v>
      </c>
      <c r="B159" s="14" t="s">
        <v>299</v>
      </c>
      <c r="C159" s="14" t="s">
        <v>300</v>
      </c>
      <c r="D159" s="14" t="n">
        <v>25.8</v>
      </c>
      <c r="E159" s="16" t="n">
        <v>45361</v>
      </c>
      <c r="F159" s="14" t="s">
        <v>252</v>
      </c>
      <c r="G159" s="14" t="s">
        <v>204</v>
      </c>
      <c r="H159" s="17" t="s">
        <v>206</v>
      </c>
      <c r="I159" s="17" t="n">
        <v>0</v>
      </c>
      <c r="J159" s="17" t="n">
        <v>0</v>
      </c>
      <c r="K159" s="17" t="n">
        <v>0</v>
      </c>
      <c r="L159" s="17" t="n">
        <v>0</v>
      </c>
      <c r="M159" s="18" t="n">
        <f aca="false">D159*I159*J159</f>
        <v>0</v>
      </c>
    </row>
    <row r="160" customFormat="false" ht="15" hidden="false" customHeight="false" outlineLevel="0" collapsed="false">
      <c r="A160" s="14" t="s">
        <v>298</v>
      </c>
      <c r="B160" s="14" t="s">
        <v>299</v>
      </c>
      <c r="C160" s="14" t="s">
        <v>300</v>
      </c>
      <c r="D160" s="14" t="n">
        <v>25.8</v>
      </c>
      <c r="E160" s="16" t="n">
        <v>45361</v>
      </c>
      <c r="F160" s="14" t="s">
        <v>252</v>
      </c>
      <c r="G160" s="14" t="s">
        <v>204</v>
      </c>
      <c r="H160" s="17" t="s">
        <v>207</v>
      </c>
      <c r="I160" s="17" t="n">
        <v>0</v>
      </c>
      <c r="J160" s="17" t="n">
        <v>0</v>
      </c>
      <c r="K160" s="17" t="n">
        <v>0</v>
      </c>
      <c r="L160" s="17" t="n">
        <v>0</v>
      </c>
      <c r="M160" s="18" t="n">
        <f aca="false">D160*I160*J160</f>
        <v>0</v>
      </c>
    </row>
    <row r="161" customFormat="false" ht="15" hidden="false" customHeight="false" outlineLevel="0" collapsed="false">
      <c r="A161" s="14" t="s">
        <v>298</v>
      </c>
      <c r="B161" s="14" t="s">
        <v>299</v>
      </c>
      <c r="C161" s="14" t="s">
        <v>300</v>
      </c>
      <c r="D161" s="14" t="n">
        <v>25.8</v>
      </c>
      <c r="E161" s="16" t="n">
        <v>45361</v>
      </c>
      <c r="F161" s="14" t="s">
        <v>252</v>
      </c>
      <c r="G161" s="14" t="s">
        <v>204</v>
      </c>
      <c r="H161" s="17" t="s">
        <v>209</v>
      </c>
      <c r="I161" s="17" t="n">
        <v>585</v>
      </c>
      <c r="J161" s="17" t="n">
        <v>1</v>
      </c>
      <c r="K161" s="17" t="s">
        <v>301</v>
      </c>
      <c r="L161" s="17" t="n">
        <v>12</v>
      </c>
      <c r="M161" s="18" t="n">
        <f aca="false">D161*I161*J161</f>
        <v>15093</v>
      </c>
    </row>
    <row r="162" customFormat="false" ht="15" hidden="false" customHeight="false" outlineLevel="0" collapsed="false">
      <c r="A162" s="14" t="s">
        <v>298</v>
      </c>
      <c r="B162" s="14" t="s">
        <v>299</v>
      </c>
      <c r="C162" s="14" t="s">
        <v>302</v>
      </c>
      <c r="D162" s="14" t="n">
        <v>8.9</v>
      </c>
      <c r="E162" s="16" t="n">
        <v>45361</v>
      </c>
      <c r="F162" s="14" t="s">
        <v>252</v>
      </c>
      <c r="G162" s="14" t="s">
        <v>204</v>
      </c>
      <c r="H162" s="17" t="s">
        <v>205</v>
      </c>
      <c r="I162" s="17" t="n">
        <v>0</v>
      </c>
      <c r="J162" s="17" t="n">
        <v>0</v>
      </c>
      <c r="K162" s="17" t="n">
        <v>0</v>
      </c>
      <c r="L162" s="17" t="n">
        <v>0</v>
      </c>
      <c r="M162" s="18" t="n">
        <f aca="false">D162*I162*J162</f>
        <v>0</v>
      </c>
    </row>
    <row r="163" customFormat="false" ht="15" hidden="false" customHeight="false" outlineLevel="0" collapsed="false">
      <c r="A163" s="14" t="s">
        <v>298</v>
      </c>
      <c r="B163" s="14" t="s">
        <v>299</v>
      </c>
      <c r="C163" s="14" t="s">
        <v>302</v>
      </c>
      <c r="D163" s="14" t="n">
        <v>8.9</v>
      </c>
      <c r="E163" s="16" t="n">
        <v>45361</v>
      </c>
      <c r="F163" s="14" t="s">
        <v>252</v>
      </c>
      <c r="G163" s="14" t="s">
        <v>204</v>
      </c>
      <c r="H163" s="17" t="s">
        <v>206</v>
      </c>
      <c r="I163" s="17" t="n">
        <v>589</v>
      </c>
      <c r="J163" s="17" t="n">
        <v>1.05</v>
      </c>
      <c r="K163" s="17" t="s">
        <v>303</v>
      </c>
      <c r="L163" s="17" t="n">
        <v>7</v>
      </c>
      <c r="M163" s="18" t="n">
        <f aca="false">D163*I163*J163</f>
        <v>5504.205</v>
      </c>
    </row>
    <row r="164" customFormat="false" ht="15" hidden="false" customHeight="false" outlineLevel="0" collapsed="false">
      <c r="A164" s="14" t="s">
        <v>298</v>
      </c>
      <c r="B164" s="14" t="s">
        <v>299</v>
      </c>
      <c r="C164" s="14" t="s">
        <v>302</v>
      </c>
      <c r="D164" s="14" t="n">
        <v>8.9</v>
      </c>
      <c r="E164" s="16" t="n">
        <v>45361</v>
      </c>
      <c r="F164" s="14" t="s">
        <v>252</v>
      </c>
      <c r="G164" s="14" t="s">
        <v>204</v>
      </c>
      <c r="H164" s="17" t="s">
        <v>207</v>
      </c>
      <c r="I164" s="17" t="n">
        <v>0</v>
      </c>
      <c r="J164" s="17" t="n">
        <v>0</v>
      </c>
      <c r="K164" s="17" t="n">
        <v>0</v>
      </c>
      <c r="L164" s="17" t="n">
        <v>0</v>
      </c>
      <c r="M164" s="18" t="n">
        <f aca="false">D164*I164*J164</f>
        <v>0</v>
      </c>
    </row>
    <row r="165" customFormat="false" ht="15" hidden="false" customHeight="false" outlineLevel="0" collapsed="false">
      <c r="A165" s="14" t="s">
        <v>298</v>
      </c>
      <c r="B165" s="14" t="s">
        <v>299</v>
      </c>
      <c r="C165" s="14" t="s">
        <v>302</v>
      </c>
      <c r="D165" s="14" t="n">
        <v>8.9</v>
      </c>
      <c r="E165" s="16" t="n">
        <v>45361</v>
      </c>
      <c r="F165" s="14" t="s">
        <v>252</v>
      </c>
      <c r="G165" s="14" t="s">
        <v>204</v>
      </c>
      <c r="H165" s="17" t="s">
        <v>209</v>
      </c>
      <c r="I165" s="17" t="n">
        <v>0</v>
      </c>
      <c r="J165" s="17" t="n">
        <v>0</v>
      </c>
      <c r="K165" s="17" t="n">
        <v>0</v>
      </c>
      <c r="L165" s="17" t="n">
        <v>0</v>
      </c>
      <c r="M165" s="18" t="n">
        <f aca="false">D165*I165*J165</f>
        <v>0</v>
      </c>
    </row>
    <row r="166" customFormat="false" ht="15" hidden="false" customHeight="false" outlineLevel="0" collapsed="false">
      <c r="A166" s="14" t="s">
        <v>298</v>
      </c>
      <c r="B166" s="14" t="s">
        <v>299</v>
      </c>
      <c r="C166" s="14" t="s">
        <v>304</v>
      </c>
      <c r="D166" s="14" t="n">
        <v>101</v>
      </c>
      <c r="E166" s="16" t="n">
        <v>45361</v>
      </c>
      <c r="F166" s="14" t="s">
        <v>252</v>
      </c>
      <c r="G166" s="14" t="s">
        <v>204</v>
      </c>
      <c r="H166" s="17" t="s">
        <v>205</v>
      </c>
      <c r="I166" s="17" t="n">
        <v>0</v>
      </c>
      <c r="J166" s="17" t="n">
        <v>0</v>
      </c>
      <c r="K166" s="17" t="n">
        <v>0</v>
      </c>
      <c r="L166" s="17" t="n">
        <v>0</v>
      </c>
      <c r="M166" s="18" t="n">
        <f aca="false">D166*I166*J166</f>
        <v>0</v>
      </c>
    </row>
    <row r="167" customFormat="false" ht="15" hidden="false" customHeight="false" outlineLevel="0" collapsed="false">
      <c r="A167" s="14" t="s">
        <v>298</v>
      </c>
      <c r="B167" s="14" t="s">
        <v>299</v>
      </c>
      <c r="C167" s="14" t="s">
        <v>304</v>
      </c>
      <c r="D167" s="14" t="n">
        <v>101</v>
      </c>
      <c r="E167" s="16" t="n">
        <v>45361</v>
      </c>
      <c r="F167" s="14" t="s">
        <v>252</v>
      </c>
      <c r="G167" s="14" t="s">
        <v>204</v>
      </c>
      <c r="H167" s="17" t="s">
        <v>206</v>
      </c>
      <c r="I167" s="17" t="n">
        <v>0</v>
      </c>
      <c r="J167" s="17" t="n">
        <v>0</v>
      </c>
      <c r="K167" s="17" t="n">
        <v>0</v>
      </c>
      <c r="L167" s="17" t="n">
        <v>0</v>
      </c>
      <c r="M167" s="18" t="n">
        <f aca="false">D167*I167*J167</f>
        <v>0</v>
      </c>
    </row>
    <row r="168" customFormat="false" ht="15" hidden="false" customHeight="false" outlineLevel="0" collapsed="false">
      <c r="A168" s="14" t="s">
        <v>298</v>
      </c>
      <c r="B168" s="14" t="s">
        <v>299</v>
      </c>
      <c r="C168" s="14" t="s">
        <v>304</v>
      </c>
      <c r="D168" s="14" t="n">
        <v>101</v>
      </c>
      <c r="E168" s="16" t="n">
        <v>45361</v>
      </c>
      <c r="F168" s="14" t="s">
        <v>252</v>
      </c>
      <c r="G168" s="14" t="s">
        <v>204</v>
      </c>
      <c r="H168" s="17" t="s">
        <v>207</v>
      </c>
      <c r="I168" s="17" t="n">
        <v>0</v>
      </c>
      <c r="J168" s="17" t="n">
        <v>0</v>
      </c>
      <c r="K168" s="17" t="n">
        <v>0</v>
      </c>
      <c r="L168" s="17" t="n">
        <v>0</v>
      </c>
      <c r="M168" s="18" t="n">
        <f aca="false">D168*I168*J168</f>
        <v>0</v>
      </c>
    </row>
    <row r="169" customFormat="false" ht="15" hidden="false" customHeight="false" outlineLevel="0" collapsed="false">
      <c r="A169" s="14" t="s">
        <v>298</v>
      </c>
      <c r="B169" s="14" t="s">
        <v>299</v>
      </c>
      <c r="C169" s="14" t="s">
        <v>304</v>
      </c>
      <c r="D169" s="14" t="n">
        <v>101</v>
      </c>
      <c r="E169" s="16" t="n">
        <v>45361</v>
      </c>
      <c r="F169" s="14" t="s">
        <v>252</v>
      </c>
      <c r="G169" s="14" t="s">
        <v>204</v>
      </c>
      <c r="H169" s="17" t="s">
        <v>209</v>
      </c>
      <c r="I169" s="17" t="n">
        <v>450</v>
      </c>
      <c r="J169" s="17" t="n">
        <v>1.05</v>
      </c>
      <c r="K169" s="17" t="s">
        <v>305</v>
      </c>
      <c r="L169" s="17" t="n">
        <v>12</v>
      </c>
      <c r="M169" s="18" t="n">
        <f aca="false">D169*I169*J169</f>
        <v>47722.5</v>
      </c>
    </row>
    <row r="170" customFormat="false" ht="15" hidden="false" customHeight="false" outlineLevel="0" collapsed="false">
      <c r="A170" s="14" t="s">
        <v>298</v>
      </c>
      <c r="B170" s="14" t="s">
        <v>299</v>
      </c>
      <c r="C170" s="14" t="s">
        <v>306</v>
      </c>
      <c r="D170" s="14" t="n">
        <v>52.3</v>
      </c>
      <c r="E170" s="16" t="n">
        <v>45361</v>
      </c>
      <c r="F170" s="14" t="s">
        <v>252</v>
      </c>
      <c r="G170" s="14" t="s">
        <v>204</v>
      </c>
      <c r="H170" s="17" t="s">
        <v>205</v>
      </c>
      <c r="I170" s="17" t="n">
        <v>889</v>
      </c>
      <c r="J170" s="17" t="n">
        <v>1.05</v>
      </c>
      <c r="K170" s="17" t="s">
        <v>307</v>
      </c>
      <c r="L170" s="17" t="n">
        <v>14</v>
      </c>
      <c r="M170" s="18" t="n">
        <f aca="false">D170*I170*J170</f>
        <v>48819.435</v>
      </c>
    </row>
    <row r="171" customFormat="false" ht="15" hidden="false" customHeight="false" outlineLevel="0" collapsed="false">
      <c r="A171" s="14" t="s">
        <v>298</v>
      </c>
      <c r="B171" s="14" t="s">
        <v>299</v>
      </c>
      <c r="C171" s="14" t="s">
        <v>306</v>
      </c>
      <c r="D171" s="14" t="n">
        <v>52.3</v>
      </c>
      <c r="E171" s="16" t="n">
        <v>45361</v>
      </c>
      <c r="F171" s="14" t="s">
        <v>252</v>
      </c>
      <c r="G171" s="14" t="s">
        <v>204</v>
      </c>
      <c r="H171" s="17" t="s">
        <v>206</v>
      </c>
      <c r="I171" s="17" t="n">
        <v>905</v>
      </c>
      <c r="J171" s="17" t="n">
        <v>1.1</v>
      </c>
      <c r="K171" s="17" t="s">
        <v>307</v>
      </c>
      <c r="L171" s="17" t="n">
        <v>17</v>
      </c>
      <c r="M171" s="18" t="n">
        <f aca="false">D171*I171*J171</f>
        <v>52064.65</v>
      </c>
    </row>
    <row r="172" customFormat="false" ht="15" hidden="false" customHeight="false" outlineLevel="0" collapsed="false">
      <c r="A172" s="14" t="s">
        <v>298</v>
      </c>
      <c r="B172" s="14" t="s">
        <v>299</v>
      </c>
      <c r="C172" s="14" t="s">
        <v>306</v>
      </c>
      <c r="D172" s="14" t="n">
        <v>52.3</v>
      </c>
      <c r="E172" s="16" t="n">
        <v>45361</v>
      </c>
      <c r="F172" s="14" t="s">
        <v>252</v>
      </c>
      <c r="G172" s="14" t="s">
        <v>204</v>
      </c>
      <c r="H172" s="17" t="s">
        <v>207</v>
      </c>
      <c r="I172" s="17" t="n">
        <v>0</v>
      </c>
      <c r="J172" s="17" t="n">
        <v>0</v>
      </c>
      <c r="K172" s="17" t="n">
        <v>0</v>
      </c>
      <c r="L172" s="17" t="n">
        <v>0</v>
      </c>
      <c r="M172" s="18" t="n">
        <f aca="false">D172*I172*J172</f>
        <v>0</v>
      </c>
    </row>
    <row r="173" customFormat="false" ht="15" hidden="false" customHeight="false" outlineLevel="0" collapsed="false">
      <c r="A173" s="14" t="s">
        <v>298</v>
      </c>
      <c r="B173" s="14" t="s">
        <v>299</v>
      </c>
      <c r="C173" s="14" t="s">
        <v>306</v>
      </c>
      <c r="D173" s="14" t="n">
        <v>52.3</v>
      </c>
      <c r="E173" s="16" t="n">
        <v>45361</v>
      </c>
      <c r="F173" s="14" t="s">
        <v>252</v>
      </c>
      <c r="G173" s="14" t="s">
        <v>204</v>
      </c>
      <c r="H173" s="17" t="s">
        <v>209</v>
      </c>
      <c r="I173" s="17" t="n">
        <v>0</v>
      </c>
      <c r="J173" s="17" t="n">
        <v>0</v>
      </c>
      <c r="K173" s="17" t="n">
        <v>0</v>
      </c>
      <c r="L173" s="17" t="n">
        <v>0</v>
      </c>
      <c r="M173" s="18" t="n">
        <f aca="false">D173*I173*J173</f>
        <v>0</v>
      </c>
    </row>
    <row r="174" customFormat="false" ht="15" hidden="false" customHeight="false" outlineLevel="0" collapsed="false">
      <c r="A174" s="14" t="s">
        <v>308</v>
      </c>
      <c r="B174" s="14" t="s">
        <v>201</v>
      </c>
      <c r="C174" s="14" t="s">
        <v>309</v>
      </c>
      <c r="D174" s="14" t="n">
        <v>82</v>
      </c>
      <c r="E174" s="16" t="n">
        <v>45362</v>
      </c>
      <c r="F174" s="14" t="s">
        <v>203</v>
      </c>
      <c r="G174" s="14" t="s">
        <v>204</v>
      </c>
      <c r="H174" s="17" t="s">
        <v>205</v>
      </c>
      <c r="I174" s="17" t="n">
        <v>0</v>
      </c>
      <c r="J174" s="17" t="n">
        <v>0</v>
      </c>
      <c r="K174" s="17" t="n">
        <v>0</v>
      </c>
      <c r="L174" s="17" t="n">
        <v>0</v>
      </c>
      <c r="M174" s="18" t="n">
        <f aca="false">D174*I174*J174</f>
        <v>0</v>
      </c>
    </row>
    <row r="175" customFormat="false" ht="15" hidden="false" customHeight="false" outlineLevel="0" collapsed="false">
      <c r="A175" s="14" t="s">
        <v>308</v>
      </c>
      <c r="B175" s="14" t="s">
        <v>201</v>
      </c>
      <c r="C175" s="14" t="s">
        <v>309</v>
      </c>
      <c r="D175" s="14" t="n">
        <v>82</v>
      </c>
      <c r="E175" s="16" t="n">
        <v>45362</v>
      </c>
      <c r="F175" s="14" t="s">
        <v>203</v>
      </c>
      <c r="G175" s="14" t="s">
        <v>204</v>
      </c>
      <c r="H175" s="17" t="s">
        <v>206</v>
      </c>
      <c r="I175" s="17" t="n">
        <v>0</v>
      </c>
      <c r="J175" s="17" t="n">
        <v>0</v>
      </c>
      <c r="K175" s="17" t="n">
        <v>0</v>
      </c>
      <c r="L175" s="17" t="n">
        <v>0</v>
      </c>
      <c r="M175" s="18" t="n">
        <f aca="false">D175*I175*J175</f>
        <v>0</v>
      </c>
    </row>
    <row r="176" customFormat="false" ht="15" hidden="false" customHeight="false" outlineLevel="0" collapsed="false">
      <c r="A176" s="14" t="s">
        <v>308</v>
      </c>
      <c r="B176" s="14" t="s">
        <v>201</v>
      </c>
      <c r="C176" s="14" t="s">
        <v>309</v>
      </c>
      <c r="D176" s="14" t="n">
        <v>82</v>
      </c>
      <c r="E176" s="16" t="n">
        <v>45362</v>
      </c>
      <c r="F176" s="14" t="s">
        <v>203</v>
      </c>
      <c r="G176" s="14" t="s">
        <v>204</v>
      </c>
      <c r="H176" s="17" t="s">
        <v>207</v>
      </c>
      <c r="I176" s="17" t="n">
        <v>527</v>
      </c>
      <c r="J176" s="17" t="n">
        <v>1</v>
      </c>
      <c r="K176" s="17" t="s">
        <v>310</v>
      </c>
      <c r="L176" s="17" t="n">
        <v>31</v>
      </c>
      <c r="M176" s="18" t="n">
        <f aca="false">D176*I176*J176</f>
        <v>43214</v>
      </c>
    </row>
    <row r="177" customFormat="false" ht="15" hidden="false" customHeight="false" outlineLevel="0" collapsed="false">
      <c r="A177" s="14" t="s">
        <v>308</v>
      </c>
      <c r="B177" s="14" t="s">
        <v>201</v>
      </c>
      <c r="C177" s="14" t="s">
        <v>309</v>
      </c>
      <c r="D177" s="14" t="n">
        <v>82</v>
      </c>
      <c r="E177" s="16" t="n">
        <v>45362</v>
      </c>
      <c r="F177" s="14" t="s">
        <v>203</v>
      </c>
      <c r="G177" s="14" t="s">
        <v>204</v>
      </c>
      <c r="H177" s="17" t="s">
        <v>209</v>
      </c>
      <c r="I177" s="17" t="n">
        <v>531</v>
      </c>
      <c r="J177" s="17" t="n">
        <v>1.05</v>
      </c>
      <c r="K177" s="17" t="s">
        <v>310</v>
      </c>
      <c r="L177" s="17" t="n">
        <v>31</v>
      </c>
      <c r="M177" s="18" t="n">
        <f aca="false">D177*I177*J177</f>
        <v>45719.1</v>
      </c>
    </row>
    <row r="178" customFormat="false" ht="15" hidden="false" customHeight="false" outlineLevel="0" collapsed="false">
      <c r="A178" s="14" t="s">
        <v>308</v>
      </c>
      <c r="B178" s="14" t="s">
        <v>201</v>
      </c>
      <c r="C178" s="14" t="s">
        <v>311</v>
      </c>
      <c r="D178" s="14" t="n">
        <v>21</v>
      </c>
      <c r="E178" s="16" t="n">
        <v>45362</v>
      </c>
      <c r="F178" s="14" t="s">
        <v>203</v>
      </c>
      <c r="G178" s="14" t="s">
        <v>204</v>
      </c>
      <c r="H178" s="17" t="s">
        <v>205</v>
      </c>
      <c r="I178" s="17" t="n">
        <v>0</v>
      </c>
      <c r="J178" s="17" t="n">
        <v>0</v>
      </c>
      <c r="K178" s="17" t="n">
        <v>0</v>
      </c>
      <c r="L178" s="17" t="n">
        <v>0</v>
      </c>
      <c r="M178" s="18" t="n">
        <f aca="false">D178*I178*J178</f>
        <v>0</v>
      </c>
    </row>
    <row r="179" customFormat="false" ht="15" hidden="false" customHeight="false" outlineLevel="0" collapsed="false">
      <c r="A179" s="14" t="s">
        <v>308</v>
      </c>
      <c r="B179" s="14" t="s">
        <v>201</v>
      </c>
      <c r="C179" s="14" t="s">
        <v>311</v>
      </c>
      <c r="D179" s="14" t="n">
        <v>21</v>
      </c>
      <c r="E179" s="16" t="n">
        <v>45362</v>
      </c>
      <c r="F179" s="14" t="s">
        <v>203</v>
      </c>
      <c r="G179" s="14" t="s">
        <v>204</v>
      </c>
      <c r="H179" s="17" t="s">
        <v>206</v>
      </c>
      <c r="I179" s="17" t="n">
        <v>0</v>
      </c>
      <c r="J179" s="17" t="n">
        <v>0</v>
      </c>
      <c r="K179" s="17" t="n">
        <v>0</v>
      </c>
      <c r="L179" s="17" t="n">
        <v>0</v>
      </c>
      <c r="M179" s="18" t="n">
        <f aca="false">D179*I179*J179</f>
        <v>0</v>
      </c>
    </row>
    <row r="180" customFormat="false" ht="15" hidden="false" customHeight="false" outlineLevel="0" collapsed="false">
      <c r="A180" s="14" t="s">
        <v>308</v>
      </c>
      <c r="B180" s="14" t="s">
        <v>201</v>
      </c>
      <c r="C180" s="14" t="s">
        <v>311</v>
      </c>
      <c r="D180" s="14" t="n">
        <v>21</v>
      </c>
      <c r="E180" s="16" t="n">
        <v>45362</v>
      </c>
      <c r="F180" s="14" t="s">
        <v>203</v>
      </c>
      <c r="G180" s="14" t="s">
        <v>204</v>
      </c>
      <c r="H180" s="17" t="s">
        <v>207</v>
      </c>
      <c r="I180" s="17" t="n">
        <v>941</v>
      </c>
      <c r="J180" s="17" t="n">
        <v>1</v>
      </c>
      <c r="K180" s="17" t="s">
        <v>312</v>
      </c>
      <c r="L180" s="17" t="n">
        <v>29</v>
      </c>
      <c r="M180" s="18" t="n">
        <f aca="false">D180*I180*J180</f>
        <v>19761</v>
      </c>
    </row>
    <row r="181" customFormat="false" ht="15" hidden="false" customHeight="false" outlineLevel="0" collapsed="false">
      <c r="A181" s="14" t="s">
        <v>308</v>
      </c>
      <c r="B181" s="14" t="s">
        <v>201</v>
      </c>
      <c r="C181" s="14" t="s">
        <v>311</v>
      </c>
      <c r="D181" s="14" t="n">
        <v>21</v>
      </c>
      <c r="E181" s="16" t="n">
        <v>45362</v>
      </c>
      <c r="F181" s="14" t="s">
        <v>203</v>
      </c>
      <c r="G181" s="14" t="s">
        <v>204</v>
      </c>
      <c r="H181" s="17" t="s">
        <v>209</v>
      </c>
      <c r="I181" s="17" t="n">
        <v>946</v>
      </c>
      <c r="J181" s="17" t="n">
        <v>1.05</v>
      </c>
      <c r="K181" s="17" t="s">
        <v>312</v>
      </c>
      <c r="L181" s="17" t="n">
        <v>25</v>
      </c>
      <c r="M181" s="18" t="n">
        <f aca="false">D181*I181*J181</f>
        <v>20859.3</v>
      </c>
    </row>
    <row r="182" customFormat="false" ht="15" hidden="false" customHeight="false" outlineLevel="0" collapsed="false">
      <c r="A182" s="14" t="s">
        <v>308</v>
      </c>
      <c r="B182" s="14" t="s">
        <v>201</v>
      </c>
      <c r="C182" s="14" t="s">
        <v>313</v>
      </c>
      <c r="D182" s="14" t="n">
        <v>41</v>
      </c>
      <c r="E182" s="16" t="n">
        <v>45362</v>
      </c>
      <c r="F182" s="14" t="s">
        <v>203</v>
      </c>
      <c r="G182" s="14" t="s">
        <v>204</v>
      </c>
      <c r="H182" s="17" t="s">
        <v>205</v>
      </c>
      <c r="I182" s="17" t="n">
        <v>0</v>
      </c>
      <c r="J182" s="17" t="n">
        <v>0</v>
      </c>
      <c r="K182" s="17" t="n">
        <v>0</v>
      </c>
      <c r="L182" s="17" t="n">
        <v>0</v>
      </c>
      <c r="M182" s="18" t="n">
        <f aca="false">D182*I182*J182</f>
        <v>0</v>
      </c>
    </row>
    <row r="183" customFormat="false" ht="15" hidden="false" customHeight="false" outlineLevel="0" collapsed="false">
      <c r="A183" s="14" t="s">
        <v>308</v>
      </c>
      <c r="B183" s="14" t="s">
        <v>201</v>
      </c>
      <c r="C183" s="14" t="s">
        <v>313</v>
      </c>
      <c r="D183" s="14" t="n">
        <v>41</v>
      </c>
      <c r="E183" s="16" t="n">
        <v>45362</v>
      </c>
      <c r="F183" s="14" t="s">
        <v>203</v>
      </c>
      <c r="G183" s="14" t="s">
        <v>204</v>
      </c>
      <c r="H183" s="17" t="s">
        <v>206</v>
      </c>
      <c r="I183" s="17" t="n">
        <v>0</v>
      </c>
      <c r="J183" s="17" t="n">
        <v>0</v>
      </c>
      <c r="K183" s="17" t="n">
        <v>0</v>
      </c>
      <c r="L183" s="17" t="n">
        <v>0</v>
      </c>
      <c r="M183" s="18" t="n">
        <f aca="false">D183*I183*J183</f>
        <v>0</v>
      </c>
    </row>
    <row r="184" customFormat="false" ht="15" hidden="false" customHeight="false" outlineLevel="0" collapsed="false">
      <c r="A184" s="14" t="s">
        <v>308</v>
      </c>
      <c r="B184" s="14" t="s">
        <v>201</v>
      </c>
      <c r="C184" s="14" t="s">
        <v>313</v>
      </c>
      <c r="D184" s="14" t="n">
        <v>41</v>
      </c>
      <c r="E184" s="16" t="n">
        <v>45362</v>
      </c>
      <c r="F184" s="14" t="s">
        <v>203</v>
      </c>
      <c r="G184" s="14" t="s">
        <v>204</v>
      </c>
      <c r="H184" s="17" t="s">
        <v>207</v>
      </c>
      <c r="I184" s="17" t="n">
        <v>0</v>
      </c>
      <c r="J184" s="17" t="n">
        <v>0</v>
      </c>
      <c r="K184" s="17" t="n">
        <v>0</v>
      </c>
      <c r="L184" s="17" t="n">
        <v>0</v>
      </c>
      <c r="M184" s="18" t="n">
        <f aca="false">D184*I184*J184</f>
        <v>0</v>
      </c>
    </row>
    <row r="185" customFormat="false" ht="15" hidden="false" customHeight="false" outlineLevel="0" collapsed="false">
      <c r="A185" s="14" t="s">
        <v>308</v>
      </c>
      <c r="B185" s="14" t="s">
        <v>201</v>
      </c>
      <c r="C185" s="14" t="s">
        <v>313</v>
      </c>
      <c r="D185" s="14" t="n">
        <v>41</v>
      </c>
      <c r="E185" s="16" t="n">
        <v>45362</v>
      </c>
      <c r="F185" s="14" t="s">
        <v>203</v>
      </c>
      <c r="G185" s="14" t="s">
        <v>204</v>
      </c>
      <c r="H185" s="17" t="s">
        <v>209</v>
      </c>
      <c r="I185" s="17" t="n">
        <v>756</v>
      </c>
      <c r="J185" s="17" t="n">
        <v>1</v>
      </c>
      <c r="K185" s="17" t="s">
        <v>314</v>
      </c>
      <c r="L185" s="17" t="n">
        <v>10</v>
      </c>
      <c r="M185" s="18" t="n">
        <f aca="false">D185*I185*J185</f>
        <v>30996</v>
      </c>
    </row>
    <row r="186" customFormat="false" ht="15" hidden="false" customHeight="false" outlineLevel="0" collapsed="false">
      <c r="E186" s="19"/>
    </row>
    <row r="187" customFormat="false" ht="15" hidden="false" customHeight="false" outlineLevel="0" collapsed="false">
      <c r="E187" s="19"/>
    </row>
    <row r="188" customFormat="false" ht="15" hidden="false" customHeight="false" outlineLevel="0" collapsed="false">
      <c r="E188" s="19"/>
    </row>
    <row r="189" customFormat="false" ht="15" hidden="false" customHeight="false" outlineLevel="0" collapsed="false">
      <c r="E189" s="19"/>
    </row>
    <row r="190" customFormat="false" ht="15" hidden="false" customHeight="false" outlineLevel="0" collapsed="false">
      <c r="E190" s="19"/>
    </row>
    <row r="191" customFormat="false" ht="15" hidden="false" customHeight="false" outlineLevel="0" collapsed="false">
      <c r="E191" s="19"/>
    </row>
    <row r="192" customFormat="false" ht="15" hidden="false" customHeight="false" outlineLevel="0" collapsed="false">
      <c r="E192" s="19"/>
    </row>
    <row r="193" customFormat="false" ht="15" hidden="false" customHeight="false" outlineLevel="0" collapsed="false">
      <c r="E193" s="19"/>
    </row>
    <row r="194" customFormat="false" ht="15" hidden="false" customHeight="false" outlineLevel="0" collapsed="false">
      <c r="E194" s="19"/>
    </row>
    <row r="195" customFormat="false" ht="15" hidden="false" customHeight="false" outlineLevel="0" collapsed="false">
      <c r="E195" s="19"/>
    </row>
    <row r="196" customFormat="false" ht="15" hidden="false" customHeight="false" outlineLevel="0" collapsed="false">
      <c r="E196" s="19"/>
    </row>
    <row r="197" customFormat="false" ht="15" hidden="false" customHeight="false" outlineLevel="0" collapsed="false">
      <c r="E197" s="19"/>
    </row>
    <row r="198" customFormat="false" ht="15" hidden="false" customHeight="false" outlineLevel="0" collapsed="false">
      <c r="E198" s="19"/>
    </row>
    <row r="199" customFormat="false" ht="15" hidden="false" customHeight="false" outlineLevel="0" collapsed="false">
      <c r="E199" s="19"/>
    </row>
    <row r="200" customFormat="false" ht="15" hidden="false" customHeight="false" outlineLevel="0" collapsed="false">
      <c r="E200" s="19"/>
    </row>
    <row r="201" customFormat="false" ht="15" hidden="false" customHeight="false" outlineLevel="0" collapsed="false">
      <c r="E201" s="19"/>
    </row>
    <row r="202" customFormat="false" ht="15" hidden="false" customHeight="false" outlineLevel="0" collapsed="false">
      <c r="E202" s="19"/>
    </row>
    <row r="203" customFormat="false" ht="15" hidden="false" customHeight="false" outlineLevel="0" collapsed="false">
      <c r="E203" s="19"/>
    </row>
    <row r="204" customFormat="false" ht="15" hidden="false" customHeight="false" outlineLevel="0" collapsed="false">
      <c r="E204" s="19"/>
    </row>
    <row r="205" customFormat="false" ht="15" hidden="false" customHeight="false" outlineLevel="0" collapsed="false">
      <c r="E205" s="19"/>
    </row>
    <row r="206" customFormat="false" ht="15" hidden="false" customHeight="false" outlineLevel="0" collapsed="false">
      <c r="E206" s="19"/>
    </row>
    <row r="207" customFormat="false" ht="15" hidden="false" customHeight="false" outlineLevel="0" collapsed="false">
      <c r="E207" s="19"/>
    </row>
    <row r="208" customFormat="false" ht="15" hidden="false" customHeight="false" outlineLevel="0" collapsed="false">
      <c r="E208" s="19"/>
    </row>
    <row r="209" customFormat="false" ht="15" hidden="false" customHeight="false" outlineLevel="0" collapsed="false">
      <c r="E209" s="19"/>
    </row>
    <row r="210" customFormat="false" ht="15" hidden="false" customHeight="false" outlineLevel="0" collapsed="false">
      <c r="E210" s="19"/>
    </row>
    <row r="211" customFormat="false" ht="15" hidden="false" customHeight="false" outlineLevel="0" collapsed="false">
      <c r="E211" s="19"/>
    </row>
    <row r="212" customFormat="false" ht="15" hidden="false" customHeight="false" outlineLevel="0" collapsed="false">
      <c r="E212" s="19"/>
    </row>
    <row r="213" customFormat="false" ht="15" hidden="false" customHeight="false" outlineLevel="0" collapsed="false">
      <c r="E213" s="19"/>
    </row>
    <row r="214" customFormat="false" ht="15" hidden="false" customHeight="false" outlineLevel="0" collapsed="false">
      <c r="E214" s="19"/>
    </row>
  </sheetData>
  <autoFilter ref="A1:M18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Sans,Обычный"&amp;12&amp;Kffffff&amp;A</oddHeader>
    <oddFooter>&amp;C&amp;"PT Sans,Обычный"&amp;12&amp;KffffffСтраница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24609375" defaultRowHeight="14.45" zeroHeight="false" outlineLevelRow="0" outlineLevelCol="0"/>
  <cols>
    <col collapsed="false" customWidth="true" hidden="false" outlineLevel="0" max="1" min="1" style="0" width="14.35"/>
    <col collapsed="false" customWidth="true" hidden="false" outlineLevel="0" max="2" min="2" style="0" width="11.71"/>
    <col collapsed="false" customWidth="true" hidden="false" outlineLevel="0" max="3" min="3" style="0" width="39.36"/>
    <col collapsed="false" customWidth="true" hidden="false" outlineLevel="0" max="4" min="4" style="0" width="27.14"/>
    <col collapsed="false" customWidth="true" hidden="false" outlineLevel="0" max="5" min="5" style="0" width="29.91"/>
  </cols>
  <sheetData>
    <row r="1" customFormat="false" ht="14.45" hidden="false" customHeight="false" outlineLevel="0" collapsed="false">
      <c r="A1" s="20" t="s">
        <v>315</v>
      </c>
      <c r="B1" s="21"/>
      <c r="C1" s="21"/>
      <c r="D1" s="21"/>
      <c r="E1" s="21"/>
    </row>
    <row r="2" customFormat="false" ht="14.45" hidden="false" customHeight="false" outlineLevel="0" collapsed="false">
      <c r="A2" s="21"/>
      <c r="B2" s="21"/>
      <c r="C2" s="21"/>
      <c r="D2" s="21"/>
      <c r="E2" s="21"/>
    </row>
    <row r="3" customFormat="false" ht="14.45" hidden="false" customHeight="false" outlineLevel="0" collapsed="false">
      <c r="A3" s="20" t="s">
        <v>187</v>
      </c>
      <c r="B3" s="20" t="s">
        <v>189</v>
      </c>
      <c r="C3" s="20" t="s">
        <v>197</v>
      </c>
      <c r="D3" s="20" t="s">
        <v>194</v>
      </c>
      <c r="E3" s="21" t="s">
        <v>316</v>
      </c>
    </row>
    <row r="4" customFormat="false" ht="14.45" hidden="false" customHeight="false" outlineLevel="0" collapsed="false">
      <c r="A4" s="22" t="s">
        <v>200</v>
      </c>
      <c r="B4" s="22" t="s">
        <v>212</v>
      </c>
      <c r="C4" s="22" t="n">
        <v>0</v>
      </c>
      <c r="D4" s="22" t="s">
        <v>209</v>
      </c>
      <c r="E4" s="23" t="n">
        <v>0</v>
      </c>
    </row>
    <row r="5" customFormat="false" ht="14.45" hidden="false" customHeight="false" outlineLevel="0" collapsed="false">
      <c r="A5" s="22" t="s">
        <v>200</v>
      </c>
      <c r="B5" s="22" t="s">
        <v>212</v>
      </c>
      <c r="C5" s="22" t="n">
        <v>0</v>
      </c>
      <c r="D5" s="22" t="s">
        <v>207</v>
      </c>
      <c r="E5" s="23" t="n">
        <v>0</v>
      </c>
    </row>
    <row r="6" customFormat="false" ht="14.45" hidden="false" customHeight="false" outlineLevel="0" collapsed="false">
      <c r="A6" s="22" t="s">
        <v>200</v>
      </c>
      <c r="B6" s="22" t="s">
        <v>212</v>
      </c>
      <c r="C6" s="22" t="s">
        <v>213</v>
      </c>
      <c r="D6" s="22" t="s">
        <v>206</v>
      </c>
      <c r="E6" s="23" t="n">
        <v>6911.85</v>
      </c>
    </row>
    <row r="7" customFormat="false" ht="14.45" hidden="false" customHeight="false" outlineLevel="0" collapsed="false">
      <c r="A7" s="22" t="s">
        <v>200</v>
      </c>
      <c r="B7" s="22" t="s">
        <v>212</v>
      </c>
      <c r="C7" s="22" t="s">
        <v>213</v>
      </c>
      <c r="D7" s="22" t="s">
        <v>205</v>
      </c>
      <c r="E7" s="23" t="n">
        <v>6690.6</v>
      </c>
    </row>
    <row r="8" customFormat="false" ht="14.45" hidden="false" customHeight="false" outlineLevel="0" collapsed="false">
      <c r="A8" s="22" t="s">
        <v>200</v>
      </c>
      <c r="B8" s="22" t="s">
        <v>202</v>
      </c>
      <c r="C8" s="22" t="n">
        <v>0</v>
      </c>
      <c r="D8" s="22" t="s">
        <v>206</v>
      </c>
      <c r="E8" s="23" t="n">
        <v>0</v>
      </c>
    </row>
    <row r="9" customFormat="false" ht="14.45" hidden="false" customHeight="false" outlineLevel="0" collapsed="false">
      <c r="A9" s="22" t="s">
        <v>200</v>
      </c>
      <c r="B9" s="22" t="s">
        <v>202</v>
      </c>
      <c r="C9" s="22" t="n">
        <v>0</v>
      </c>
      <c r="D9" s="22" t="s">
        <v>205</v>
      </c>
      <c r="E9" s="23" t="n">
        <v>0</v>
      </c>
    </row>
    <row r="10" customFormat="false" ht="14.45" hidden="false" customHeight="false" outlineLevel="0" collapsed="false">
      <c r="A10" s="22" t="s">
        <v>200</v>
      </c>
      <c r="B10" s="22" t="s">
        <v>202</v>
      </c>
      <c r="C10" s="22" t="s">
        <v>208</v>
      </c>
      <c r="D10" s="22" t="s">
        <v>209</v>
      </c>
      <c r="E10" s="23" t="n">
        <v>25585.56</v>
      </c>
    </row>
    <row r="11" customFormat="false" ht="14.45" hidden="false" customHeight="false" outlineLevel="0" collapsed="false">
      <c r="A11" s="22" t="s">
        <v>200</v>
      </c>
      <c r="B11" s="22" t="s">
        <v>202</v>
      </c>
      <c r="C11" s="22" t="s">
        <v>208</v>
      </c>
      <c r="D11" s="22" t="s">
        <v>207</v>
      </c>
      <c r="E11" s="23" t="n">
        <v>23839.2</v>
      </c>
    </row>
    <row r="12" customFormat="false" ht="14.45" hidden="false" customHeight="false" outlineLevel="0" collapsed="false">
      <c r="A12" s="22" t="s">
        <v>200</v>
      </c>
      <c r="B12" s="22" t="s">
        <v>210</v>
      </c>
      <c r="C12" s="22" t="n">
        <v>0</v>
      </c>
      <c r="D12" s="22" t="s">
        <v>209</v>
      </c>
      <c r="E12" s="23" t="n">
        <v>0</v>
      </c>
    </row>
    <row r="13" customFormat="false" ht="14.45" hidden="false" customHeight="false" outlineLevel="0" collapsed="false">
      <c r="A13" s="22" t="s">
        <v>200</v>
      </c>
      <c r="B13" s="22" t="s">
        <v>210</v>
      </c>
      <c r="C13" s="22" t="n">
        <v>0</v>
      </c>
      <c r="D13" s="22" t="s">
        <v>206</v>
      </c>
      <c r="E13" s="23" t="n">
        <v>0</v>
      </c>
    </row>
    <row r="14" customFormat="false" ht="14.45" hidden="false" customHeight="false" outlineLevel="0" collapsed="false">
      <c r="A14" s="22" t="s">
        <v>200</v>
      </c>
      <c r="B14" s="22" t="s">
        <v>210</v>
      </c>
      <c r="C14" s="22" t="n">
        <v>0</v>
      </c>
      <c r="D14" s="22" t="s">
        <v>205</v>
      </c>
      <c r="E14" s="23" t="n">
        <v>0</v>
      </c>
    </row>
    <row r="15" customFormat="false" ht="14.45" hidden="false" customHeight="false" outlineLevel="0" collapsed="false">
      <c r="A15" s="22" t="s">
        <v>200</v>
      </c>
      <c r="B15" s="22" t="s">
        <v>210</v>
      </c>
      <c r="C15" s="22" t="s">
        <v>211</v>
      </c>
      <c r="D15" s="22" t="s">
        <v>207</v>
      </c>
      <c r="E15" s="23" t="n">
        <v>79432.5</v>
      </c>
    </row>
    <row r="16" customFormat="false" ht="14.45" hidden="false" customHeight="false" outlineLevel="0" collapsed="false">
      <c r="A16" s="22" t="s">
        <v>214</v>
      </c>
      <c r="B16" s="22" t="s">
        <v>225</v>
      </c>
      <c r="C16" s="22" t="n">
        <v>0</v>
      </c>
      <c r="D16" s="22" t="s">
        <v>209</v>
      </c>
      <c r="E16" s="23" t="n">
        <v>0</v>
      </c>
    </row>
    <row r="17" customFormat="false" ht="14.45" hidden="false" customHeight="false" outlineLevel="0" collapsed="false">
      <c r="A17" s="22" t="s">
        <v>214</v>
      </c>
      <c r="B17" s="22" t="s">
        <v>225</v>
      </c>
      <c r="C17" s="22" t="n">
        <v>0</v>
      </c>
      <c r="D17" s="22" t="s">
        <v>207</v>
      </c>
      <c r="E17" s="23" t="n">
        <v>0</v>
      </c>
    </row>
    <row r="18" customFormat="false" ht="14.45" hidden="false" customHeight="false" outlineLevel="0" collapsed="false">
      <c r="A18" s="22" t="s">
        <v>214</v>
      </c>
      <c r="B18" s="22" t="s">
        <v>225</v>
      </c>
      <c r="C18" s="22" t="n">
        <v>0</v>
      </c>
      <c r="D18" s="22" t="s">
        <v>205</v>
      </c>
      <c r="E18" s="23" t="n">
        <v>0</v>
      </c>
    </row>
    <row r="19" customFormat="false" ht="14.45" hidden="false" customHeight="false" outlineLevel="0" collapsed="false">
      <c r="A19" s="22" t="s">
        <v>214</v>
      </c>
      <c r="B19" s="22" t="s">
        <v>225</v>
      </c>
      <c r="C19" s="22" t="s">
        <v>226</v>
      </c>
      <c r="D19" s="22" t="s">
        <v>206</v>
      </c>
      <c r="E19" s="23" t="n">
        <v>2869</v>
      </c>
    </row>
    <row r="20" customFormat="false" ht="14.45" hidden="false" customHeight="false" outlineLevel="0" collapsed="false">
      <c r="A20" s="22" t="s">
        <v>214</v>
      </c>
      <c r="B20" s="22" t="s">
        <v>227</v>
      </c>
      <c r="C20" s="22" t="n">
        <v>0</v>
      </c>
      <c r="D20" s="22" t="s">
        <v>206</v>
      </c>
      <c r="E20" s="23" t="n">
        <v>0</v>
      </c>
    </row>
    <row r="21" customFormat="false" ht="14.45" hidden="false" customHeight="false" outlineLevel="0" collapsed="false">
      <c r="A21" s="22" t="s">
        <v>214</v>
      </c>
      <c r="B21" s="22" t="s">
        <v>227</v>
      </c>
      <c r="C21" s="22" t="n">
        <v>0</v>
      </c>
      <c r="D21" s="22" t="s">
        <v>207</v>
      </c>
      <c r="E21" s="23" t="n">
        <v>0</v>
      </c>
    </row>
    <row r="22" customFormat="false" ht="14.45" hidden="false" customHeight="false" outlineLevel="0" collapsed="false">
      <c r="A22" s="22" t="s">
        <v>214</v>
      </c>
      <c r="B22" s="22" t="s">
        <v>227</v>
      </c>
      <c r="C22" s="22" t="s">
        <v>228</v>
      </c>
      <c r="D22" s="22" t="s">
        <v>209</v>
      </c>
      <c r="E22" s="23" t="n">
        <v>62186</v>
      </c>
    </row>
    <row r="23" customFormat="false" ht="14.45" hidden="false" customHeight="false" outlineLevel="0" collapsed="false">
      <c r="A23" s="22" t="s">
        <v>214</v>
      </c>
      <c r="B23" s="22" t="s">
        <v>227</v>
      </c>
      <c r="C23" s="22" t="s">
        <v>228</v>
      </c>
      <c r="D23" s="22" t="s">
        <v>205</v>
      </c>
      <c r="E23" s="23" t="n">
        <v>66162.6</v>
      </c>
    </row>
    <row r="24" customFormat="false" ht="14.45" hidden="false" customHeight="false" outlineLevel="0" collapsed="false">
      <c r="A24" s="22" t="s">
        <v>214</v>
      </c>
      <c r="B24" s="22" t="s">
        <v>216</v>
      </c>
      <c r="C24" s="22" t="n">
        <v>0</v>
      </c>
      <c r="D24" s="22" t="s">
        <v>209</v>
      </c>
      <c r="E24" s="23" t="n">
        <v>0</v>
      </c>
    </row>
    <row r="25" customFormat="false" ht="14.45" hidden="false" customHeight="false" outlineLevel="0" collapsed="false">
      <c r="A25" s="22" t="s">
        <v>214</v>
      </c>
      <c r="B25" s="22" t="s">
        <v>216</v>
      </c>
      <c r="C25" s="22" t="n">
        <v>0</v>
      </c>
      <c r="D25" s="22" t="s">
        <v>206</v>
      </c>
      <c r="E25" s="23" t="n">
        <v>0</v>
      </c>
    </row>
    <row r="26" customFormat="false" ht="14.45" hidden="false" customHeight="false" outlineLevel="0" collapsed="false">
      <c r="A26" s="22" t="s">
        <v>214</v>
      </c>
      <c r="B26" s="22" t="s">
        <v>216</v>
      </c>
      <c r="C26" s="22" t="n">
        <v>0</v>
      </c>
      <c r="D26" s="22" t="s">
        <v>205</v>
      </c>
      <c r="E26" s="23" t="n">
        <v>0</v>
      </c>
    </row>
    <row r="27" customFormat="false" ht="14.45" hidden="false" customHeight="false" outlineLevel="0" collapsed="false">
      <c r="A27" s="22" t="s">
        <v>214</v>
      </c>
      <c r="B27" s="22" t="s">
        <v>216</v>
      </c>
      <c r="C27" s="22" t="s">
        <v>218</v>
      </c>
      <c r="D27" s="22" t="s">
        <v>207</v>
      </c>
      <c r="E27" s="23" t="n">
        <v>69099</v>
      </c>
    </row>
    <row r="28" customFormat="false" ht="14.45" hidden="false" customHeight="false" outlineLevel="0" collapsed="false">
      <c r="A28" s="22" t="s">
        <v>214</v>
      </c>
      <c r="B28" s="22" t="s">
        <v>223</v>
      </c>
      <c r="C28" s="22" t="n">
        <v>0</v>
      </c>
      <c r="D28" s="22" t="s">
        <v>206</v>
      </c>
      <c r="E28" s="23" t="n">
        <v>0</v>
      </c>
    </row>
    <row r="29" customFormat="false" ht="14.45" hidden="false" customHeight="false" outlineLevel="0" collapsed="false">
      <c r="A29" s="22" t="s">
        <v>214</v>
      </c>
      <c r="B29" s="22" t="s">
        <v>223</v>
      </c>
      <c r="C29" s="22" t="n">
        <v>0</v>
      </c>
      <c r="D29" s="22" t="s">
        <v>205</v>
      </c>
      <c r="E29" s="23" t="n">
        <v>0</v>
      </c>
    </row>
    <row r="30" customFormat="false" ht="14.45" hidden="false" customHeight="false" outlineLevel="0" collapsed="false">
      <c r="A30" s="22" t="s">
        <v>214</v>
      </c>
      <c r="B30" s="22" t="s">
        <v>223</v>
      </c>
      <c r="C30" s="22" t="s">
        <v>224</v>
      </c>
      <c r="D30" s="22" t="s">
        <v>209</v>
      </c>
      <c r="E30" s="23" t="n">
        <v>654.885</v>
      </c>
    </row>
    <row r="31" customFormat="false" ht="14.45" hidden="false" customHeight="false" outlineLevel="0" collapsed="false">
      <c r="A31" s="22" t="s">
        <v>214</v>
      </c>
      <c r="B31" s="22" t="s">
        <v>223</v>
      </c>
      <c r="C31" s="22" t="s">
        <v>224</v>
      </c>
      <c r="D31" s="22" t="s">
        <v>207</v>
      </c>
      <c r="E31" s="23" t="n">
        <v>614.6</v>
      </c>
    </row>
    <row r="32" customFormat="false" ht="14.45" hidden="false" customHeight="false" outlineLevel="0" collapsed="false">
      <c r="A32" s="22" t="s">
        <v>214</v>
      </c>
      <c r="B32" s="22" t="s">
        <v>219</v>
      </c>
      <c r="C32" s="22" t="n">
        <v>0</v>
      </c>
      <c r="D32" s="22" t="s">
        <v>209</v>
      </c>
      <c r="E32" s="23" t="n">
        <v>0</v>
      </c>
    </row>
    <row r="33" customFormat="false" ht="14.45" hidden="false" customHeight="false" outlineLevel="0" collapsed="false">
      <c r="A33" s="22" t="s">
        <v>214</v>
      </c>
      <c r="B33" s="22" t="s">
        <v>219</v>
      </c>
      <c r="C33" s="22" t="n">
        <v>0</v>
      </c>
      <c r="D33" s="22" t="s">
        <v>206</v>
      </c>
      <c r="E33" s="23" t="n">
        <v>0</v>
      </c>
    </row>
    <row r="34" customFormat="false" ht="14.45" hidden="false" customHeight="false" outlineLevel="0" collapsed="false">
      <c r="A34" s="22" t="s">
        <v>214</v>
      </c>
      <c r="B34" s="22" t="s">
        <v>219</v>
      </c>
      <c r="C34" s="22" t="s">
        <v>220</v>
      </c>
      <c r="D34" s="22" t="s">
        <v>207</v>
      </c>
      <c r="E34" s="23" t="n">
        <v>5684</v>
      </c>
    </row>
    <row r="35" customFormat="false" ht="14.45" hidden="false" customHeight="false" outlineLevel="0" collapsed="false">
      <c r="A35" s="22" t="s">
        <v>214</v>
      </c>
      <c r="B35" s="22" t="s">
        <v>219</v>
      </c>
      <c r="C35" s="22" t="s">
        <v>220</v>
      </c>
      <c r="D35" s="22" t="s">
        <v>205</v>
      </c>
      <c r="E35" s="23" t="n">
        <v>6295.52</v>
      </c>
    </row>
    <row r="36" customFormat="false" ht="14.45" hidden="false" customHeight="false" outlineLevel="0" collapsed="false">
      <c r="A36" s="22" t="s">
        <v>214</v>
      </c>
      <c r="B36" s="22" t="s">
        <v>221</v>
      </c>
      <c r="C36" s="22" t="n">
        <v>0</v>
      </c>
      <c r="D36" s="22" t="s">
        <v>206</v>
      </c>
      <c r="E36" s="23" t="n">
        <v>0</v>
      </c>
    </row>
    <row r="37" customFormat="false" ht="14.45" hidden="false" customHeight="false" outlineLevel="0" collapsed="false">
      <c r="A37" s="22" t="s">
        <v>214</v>
      </c>
      <c r="B37" s="22" t="s">
        <v>221</v>
      </c>
      <c r="C37" s="22" t="n">
        <v>0</v>
      </c>
      <c r="D37" s="22" t="s">
        <v>207</v>
      </c>
      <c r="E37" s="23" t="n">
        <v>0</v>
      </c>
    </row>
    <row r="38" customFormat="false" ht="14.45" hidden="false" customHeight="false" outlineLevel="0" collapsed="false">
      <c r="A38" s="22" t="s">
        <v>214</v>
      </c>
      <c r="B38" s="22" t="s">
        <v>221</v>
      </c>
      <c r="C38" s="22" t="s">
        <v>222</v>
      </c>
      <c r="D38" s="22" t="s">
        <v>209</v>
      </c>
      <c r="E38" s="23" t="n">
        <v>5395.4</v>
      </c>
    </row>
    <row r="39" customFormat="false" ht="14.45" hidden="false" customHeight="false" outlineLevel="0" collapsed="false">
      <c r="A39" s="22" t="s">
        <v>214</v>
      </c>
      <c r="B39" s="22" t="s">
        <v>221</v>
      </c>
      <c r="C39" s="22" t="s">
        <v>222</v>
      </c>
      <c r="D39" s="22" t="s">
        <v>205</v>
      </c>
      <c r="E39" s="23" t="n">
        <v>5720.82</v>
      </c>
    </row>
    <row r="40" customFormat="false" ht="14.45" hidden="false" customHeight="false" outlineLevel="0" collapsed="false">
      <c r="A40" s="22" t="s">
        <v>229</v>
      </c>
      <c r="B40" s="22" t="s">
        <v>236</v>
      </c>
      <c r="C40" s="22" t="n">
        <v>0</v>
      </c>
      <c r="D40" s="22" t="s">
        <v>206</v>
      </c>
      <c r="E40" s="23" t="n">
        <v>0</v>
      </c>
    </row>
    <row r="41" customFormat="false" ht="14.45" hidden="false" customHeight="false" outlineLevel="0" collapsed="false">
      <c r="A41" s="22" t="s">
        <v>229</v>
      </c>
      <c r="B41" s="22" t="s">
        <v>236</v>
      </c>
      <c r="C41" s="22" t="n">
        <v>0</v>
      </c>
      <c r="D41" s="22" t="s">
        <v>207</v>
      </c>
      <c r="E41" s="23" t="n">
        <v>0</v>
      </c>
    </row>
    <row r="42" customFormat="false" ht="14.45" hidden="false" customHeight="false" outlineLevel="0" collapsed="false">
      <c r="A42" s="22" t="s">
        <v>229</v>
      </c>
      <c r="B42" s="22" t="s">
        <v>236</v>
      </c>
      <c r="C42" s="22" t="n">
        <v>0</v>
      </c>
      <c r="D42" s="22" t="s">
        <v>205</v>
      </c>
      <c r="E42" s="23" t="n">
        <v>0</v>
      </c>
    </row>
    <row r="43" customFormat="false" ht="14.45" hidden="false" customHeight="false" outlineLevel="0" collapsed="false">
      <c r="A43" s="22" t="s">
        <v>229</v>
      </c>
      <c r="B43" s="22" t="s">
        <v>236</v>
      </c>
      <c r="C43" s="22" t="s">
        <v>237</v>
      </c>
      <c r="D43" s="22" t="s">
        <v>209</v>
      </c>
      <c r="E43" s="23" t="n">
        <v>17269.2</v>
      </c>
    </row>
    <row r="44" customFormat="false" ht="14.45" hidden="false" customHeight="false" outlineLevel="0" collapsed="false">
      <c r="A44" s="22" t="s">
        <v>229</v>
      </c>
      <c r="B44" s="22" t="s">
        <v>238</v>
      </c>
      <c r="C44" s="22" t="n">
        <v>0</v>
      </c>
      <c r="D44" s="22" t="s">
        <v>209</v>
      </c>
      <c r="E44" s="23" t="n">
        <v>0</v>
      </c>
    </row>
    <row r="45" customFormat="false" ht="14.45" hidden="false" customHeight="false" outlineLevel="0" collapsed="false">
      <c r="A45" s="22" t="s">
        <v>229</v>
      </c>
      <c r="B45" s="22" t="s">
        <v>238</v>
      </c>
      <c r="C45" s="22" t="n">
        <v>0</v>
      </c>
      <c r="D45" s="22" t="s">
        <v>207</v>
      </c>
      <c r="E45" s="23" t="n">
        <v>0</v>
      </c>
    </row>
    <row r="46" customFormat="false" ht="14.45" hidden="false" customHeight="false" outlineLevel="0" collapsed="false">
      <c r="A46" s="22" t="s">
        <v>229</v>
      </c>
      <c r="B46" s="22" t="s">
        <v>238</v>
      </c>
      <c r="C46" s="22" t="n">
        <v>0</v>
      </c>
      <c r="D46" s="22" t="s">
        <v>205</v>
      </c>
      <c r="E46" s="23" t="n">
        <v>0</v>
      </c>
    </row>
    <row r="47" customFormat="false" ht="14.45" hidden="false" customHeight="false" outlineLevel="0" collapsed="false">
      <c r="A47" s="22" t="s">
        <v>229</v>
      </c>
      <c r="B47" s="22" t="s">
        <v>238</v>
      </c>
      <c r="C47" s="22" t="s">
        <v>239</v>
      </c>
      <c r="D47" s="22" t="s">
        <v>206</v>
      </c>
      <c r="E47" s="23" t="n">
        <v>80543.4</v>
      </c>
    </row>
    <row r="48" customFormat="false" ht="14.45" hidden="false" customHeight="false" outlineLevel="0" collapsed="false">
      <c r="A48" s="22" t="s">
        <v>229</v>
      </c>
      <c r="B48" s="22" t="s">
        <v>234</v>
      </c>
      <c r="C48" s="22" t="s">
        <v>235</v>
      </c>
      <c r="D48" s="22" t="s">
        <v>209</v>
      </c>
      <c r="E48" s="23" t="n">
        <v>20643.21</v>
      </c>
    </row>
    <row r="49" customFormat="false" ht="14.45" hidden="false" customHeight="false" outlineLevel="0" collapsed="false">
      <c r="A49" s="22" t="s">
        <v>229</v>
      </c>
      <c r="B49" s="22" t="s">
        <v>234</v>
      </c>
      <c r="C49" s="22" t="s">
        <v>235</v>
      </c>
      <c r="D49" s="22" t="s">
        <v>206</v>
      </c>
      <c r="E49" s="23" t="n">
        <v>24405.99</v>
      </c>
    </row>
    <row r="50" customFormat="false" ht="14.45" hidden="false" customHeight="false" outlineLevel="0" collapsed="false">
      <c r="A50" s="22" t="s">
        <v>229</v>
      </c>
      <c r="B50" s="22" t="s">
        <v>234</v>
      </c>
      <c r="C50" s="22" t="s">
        <v>235</v>
      </c>
      <c r="D50" s="22" t="s">
        <v>207</v>
      </c>
      <c r="E50" s="23" t="n">
        <v>20181</v>
      </c>
    </row>
    <row r="51" customFormat="false" ht="14.45" hidden="false" customHeight="false" outlineLevel="0" collapsed="false">
      <c r="A51" s="22" t="s">
        <v>229</v>
      </c>
      <c r="B51" s="22" t="s">
        <v>234</v>
      </c>
      <c r="C51" s="22" t="s">
        <v>235</v>
      </c>
      <c r="D51" s="22" t="s">
        <v>205</v>
      </c>
      <c r="E51" s="23" t="n">
        <v>21984.27</v>
      </c>
    </row>
    <row r="52" customFormat="false" ht="14.45" hidden="false" customHeight="false" outlineLevel="0" collapsed="false">
      <c r="A52" s="22" t="s">
        <v>229</v>
      </c>
      <c r="B52" s="22" t="s">
        <v>231</v>
      </c>
      <c r="C52" s="22" t="n">
        <v>0</v>
      </c>
      <c r="D52" s="22" t="s">
        <v>209</v>
      </c>
      <c r="E52" s="23" t="n">
        <v>0</v>
      </c>
    </row>
    <row r="53" customFormat="false" ht="14.45" hidden="false" customHeight="false" outlineLevel="0" collapsed="false">
      <c r="A53" s="22" t="s">
        <v>229</v>
      </c>
      <c r="B53" s="22" t="s">
        <v>231</v>
      </c>
      <c r="C53" s="22" t="n">
        <v>0</v>
      </c>
      <c r="D53" s="22" t="s">
        <v>207</v>
      </c>
      <c r="E53" s="23" t="n">
        <v>0</v>
      </c>
    </row>
    <row r="54" customFormat="false" ht="14.45" hidden="false" customHeight="false" outlineLevel="0" collapsed="false">
      <c r="A54" s="22" t="s">
        <v>229</v>
      </c>
      <c r="B54" s="22" t="s">
        <v>231</v>
      </c>
      <c r="C54" s="22" t="s">
        <v>233</v>
      </c>
      <c r="D54" s="22" t="s">
        <v>206</v>
      </c>
      <c r="E54" s="23" t="n">
        <v>774.69</v>
      </c>
    </row>
    <row r="55" customFormat="false" ht="14.45" hidden="false" customHeight="false" outlineLevel="0" collapsed="false">
      <c r="A55" s="22" t="s">
        <v>229</v>
      </c>
      <c r="B55" s="22" t="s">
        <v>231</v>
      </c>
      <c r="C55" s="22" t="s">
        <v>233</v>
      </c>
      <c r="D55" s="22" t="s">
        <v>205</v>
      </c>
      <c r="E55" s="23" t="n">
        <v>731.6</v>
      </c>
    </row>
    <row r="56" customFormat="false" ht="14.45" hidden="false" customHeight="false" outlineLevel="0" collapsed="false">
      <c r="A56" s="22" t="s">
        <v>240</v>
      </c>
      <c r="B56" s="22" t="s">
        <v>248</v>
      </c>
      <c r="C56" s="22" t="n">
        <v>0</v>
      </c>
      <c r="D56" s="22" t="s">
        <v>206</v>
      </c>
      <c r="E56" s="23" t="n">
        <v>0</v>
      </c>
    </row>
    <row r="57" customFormat="false" ht="14.45" hidden="false" customHeight="false" outlineLevel="0" collapsed="false">
      <c r="A57" s="22" t="s">
        <v>240</v>
      </c>
      <c r="B57" s="22" t="s">
        <v>248</v>
      </c>
      <c r="C57" s="22" t="n">
        <v>0</v>
      </c>
      <c r="D57" s="22" t="s">
        <v>205</v>
      </c>
      <c r="E57" s="23" t="n">
        <v>0</v>
      </c>
    </row>
    <row r="58" customFormat="false" ht="14.45" hidden="false" customHeight="false" outlineLevel="0" collapsed="false">
      <c r="A58" s="22" t="s">
        <v>240</v>
      </c>
      <c r="B58" s="22" t="s">
        <v>248</v>
      </c>
      <c r="C58" s="22" t="s">
        <v>249</v>
      </c>
      <c r="D58" s="22" t="s">
        <v>209</v>
      </c>
      <c r="E58" s="23" t="n">
        <v>20470.275</v>
      </c>
    </row>
    <row r="59" customFormat="false" ht="14.45" hidden="false" customHeight="false" outlineLevel="0" collapsed="false">
      <c r="A59" s="22" t="s">
        <v>240</v>
      </c>
      <c r="B59" s="22" t="s">
        <v>248</v>
      </c>
      <c r="C59" s="22" t="s">
        <v>249</v>
      </c>
      <c r="D59" s="22" t="s">
        <v>207</v>
      </c>
      <c r="E59" s="23" t="n">
        <v>18164.1</v>
      </c>
    </row>
    <row r="60" customFormat="false" ht="14.45" hidden="false" customHeight="false" outlineLevel="0" collapsed="false">
      <c r="A60" s="22" t="s">
        <v>240</v>
      </c>
      <c r="B60" s="22" t="s">
        <v>242</v>
      </c>
      <c r="C60" s="22" t="s">
        <v>245</v>
      </c>
      <c r="D60" s="22" t="s">
        <v>209</v>
      </c>
      <c r="E60" s="23" t="n">
        <v>3072.3</v>
      </c>
    </row>
    <row r="61" customFormat="false" ht="14.45" hidden="false" customHeight="false" outlineLevel="0" collapsed="false">
      <c r="A61" s="22" t="s">
        <v>240</v>
      </c>
      <c r="B61" s="22" t="s">
        <v>242</v>
      </c>
      <c r="C61" s="22" t="s">
        <v>245</v>
      </c>
      <c r="D61" s="22" t="s">
        <v>206</v>
      </c>
      <c r="E61" s="23" t="n">
        <v>2753.1</v>
      </c>
    </row>
    <row r="62" customFormat="false" ht="14.45" hidden="false" customHeight="false" outlineLevel="0" collapsed="false">
      <c r="A62" s="22" t="s">
        <v>240</v>
      </c>
      <c r="B62" s="22" t="s">
        <v>242</v>
      </c>
      <c r="C62" s="22" t="s">
        <v>245</v>
      </c>
      <c r="D62" s="22" t="s">
        <v>207</v>
      </c>
      <c r="E62" s="23" t="n">
        <v>2950.605</v>
      </c>
    </row>
    <row r="63" customFormat="false" ht="14.45" hidden="false" customHeight="false" outlineLevel="0" collapsed="false">
      <c r="A63" s="22" t="s">
        <v>240</v>
      </c>
      <c r="B63" s="22" t="s">
        <v>242</v>
      </c>
      <c r="C63" s="22" t="s">
        <v>245</v>
      </c>
      <c r="D63" s="22" t="s">
        <v>205</v>
      </c>
      <c r="E63" s="23" t="n">
        <v>2989.08</v>
      </c>
    </row>
    <row r="64" customFormat="false" ht="14.45" hidden="false" customHeight="false" outlineLevel="0" collapsed="false">
      <c r="A64" s="22" t="s">
        <v>240</v>
      </c>
      <c r="B64" s="22" t="s">
        <v>246</v>
      </c>
      <c r="C64" s="22" t="n">
        <v>0</v>
      </c>
      <c r="D64" s="22" t="s">
        <v>209</v>
      </c>
      <c r="E64" s="23" t="n">
        <v>0</v>
      </c>
    </row>
    <row r="65" customFormat="false" ht="14.45" hidden="false" customHeight="false" outlineLevel="0" collapsed="false">
      <c r="A65" s="22" t="s">
        <v>240</v>
      </c>
      <c r="B65" s="22" t="s">
        <v>246</v>
      </c>
      <c r="C65" s="22" t="n">
        <v>0</v>
      </c>
      <c r="D65" s="22" t="s">
        <v>207</v>
      </c>
      <c r="E65" s="23" t="n">
        <v>0</v>
      </c>
    </row>
    <row r="66" customFormat="false" ht="14.45" hidden="false" customHeight="false" outlineLevel="0" collapsed="false">
      <c r="A66" s="22" t="s">
        <v>240</v>
      </c>
      <c r="B66" s="22" t="s">
        <v>246</v>
      </c>
      <c r="C66" s="22" t="n">
        <v>0</v>
      </c>
      <c r="D66" s="22" t="s">
        <v>205</v>
      </c>
      <c r="E66" s="23" t="n">
        <v>0</v>
      </c>
    </row>
    <row r="67" customFormat="false" ht="14.45" hidden="false" customHeight="false" outlineLevel="0" collapsed="false">
      <c r="A67" s="22" t="s">
        <v>240</v>
      </c>
      <c r="B67" s="22" t="s">
        <v>246</v>
      </c>
      <c r="C67" s="22" t="s">
        <v>247</v>
      </c>
      <c r="D67" s="22" t="s">
        <v>206</v>
      </c>
      <c r="E67" s="23" t="n">
        <v>12584.25</v>
      </c>
    </row>
    <row r="68" customFormat="false" ht="14.45" hidden="false" customHeight="false" outlineLevel="0" collapsed="false">
      <c r="A68" s="22" t="s">
        <v>250</v>
      </c>
      <c r="B68" s="22" t="s">
        <v>251</v>
      </c>
      <c r="C68" s="22" t="n">
        <v>0</v>
      </c>
      <c r="D68" s="22" t="s">
        <v>209</v>
      </c>
      <c r="E68" s="23" t="n">
        <v>0</v>
      </c>
    </row>
    <row r="69" customFormat="false" ht="14.45" hidden="false" customHeight="false" outlineLevel="0" collapsed="false">
      <c r="A69" s="22" t="s">
        <v>250</v>
      </c>
      <c r="B69" s="22" t="s">
        <v>251</v>
      </c>
      <c r="C69" s="22" t="s">
        <v>253</v>
      </c>
      <c r="D69" s="22" t="s">
        <v>206</v>
      </c>
      <c r="E69" s="23" t="n">
        <v>9851.625</v>
      </c>
    </row>
    <row r="70" customFormat="false" ht="14.45" hidden="false" customHeight="false" outlineLevel="0" collapsed="false">
      <c r="A70" s="22" t="s">
        <v>250</v>
      </c>
      <c r="B70" s="22" t="s">
        <v>251</v>
      </c>
      <c r="C70" s="22" t="s">
        <v>253</v>
      </c>
      <c r="D70" s="22" t="s">
        <v>207</v>
      </c>
      <c r="E70" s="23" t="n">
        <v>10397.2</v>
      </c>
    </row>
    <row r="71" customFormat="false" ht="14.45" hidden="false" customHeight="false" outlineLevel="0" collapsed="false">
      <c r="A71" s="22" t="s">
        <v>250</v>
      </c>
      <c r="B71" s="22" t="s">
        <v>251</v>
      </c>
      <c r="C71" s="22" t="s">
        <v>253</v>
      </c>
      <c r="D71" s="22" t="s">
        <v>205</v>
      </c>
      <c r="E71" s="23" t="n">
        <v>9799.5</v>
      </c>
    </row>
    <row r="72" customFormat="false" ht="14.45" hidden="false" customHeight="false" outlineLevel="0" collapsed="false">
      <c r="A72" s="22" t="s">
        <v>250</v>
      </c>
      <c r="B72" s="22" t="s">
        <v>262</v>
      </c>
      <c r="C72" s="22" t="n">
        <v>0</v>
      </c>
      <c r="D72" s="22" t="s">
        <v>206</v>
      </c>
      <c r="E72" s="23" t="n">
        <v>0</v>
      </c>
    </row>
    <row r="73" customFormat="false" ht="14.45" hidden="false" customHeight="false" outlineLevel="0" collapsed="false">
      <c r="A73" s="22" t="s">
        <v>250</v>
      </c>
      <c r="B73" s="22" t="s">
        <v>262</v>
      </c>
      <c r="C73" s="22" t="n">
        <v>0</v>
      </c>
      <c r="D73" s="22" t="s">
        <v>207</v>
      </c>
      <c r="E73" s="23" t="n">
        <v>0</v>
      </c>
    </row>
    <row r="74" customFormat="false" ht="14.45" hidden="false" customHeight="false" outlineLevel="0" collapsed="false">
      <c r="A74" s="22" t="s">
        <v>250</v>
      </c>
      <c r="B74" s="22" t="s">
        <v>262</v>
      </c>
      <c r="C74" s="22" t="n">
        <v>0</v>
      </c>
      <c r="D74" s="22" t="s">
        <v>205</v>
      </c>
      <c r="E74" s="23" t="n">
        <v>0</v>
      </c>
    </row>
    <row r="75" customFormat="false" ht="14.45" hidden="false" customHeight="false" outlineLevel="0" collapsed="false">
      <c r="A75" s="22" t="s">
        <v>250</v>
      </c>
      <c r="B75" s="22" t="s">
        <v>262</v>
      </c>
      <c r="C75" s="22" t="s">
        <v>263</v>
      </c>
      <c r="D75" s="22" t="s">
        <v>209</v>
      </c>
      <c r="E75" s="23" t="n">
        <v>50977.1</v>
      </c>
    </row>
    <row r="76" customFormat="false" ht="14.45" hidden="false" customHeight="false" outlineLevel="0" collapsed="false">
      <c r="A76" s="22" t="s">
        <v>250</v>
      </c>
      <c r="B76" s="22" t="s">
        <v>260</v>
      </c>
      <c r="C76" s="22" t="n">
        <v>0</v>
      </c>
      <c r="D76" s="22" t="s">
        <v>209</v>
      </c>
      <c r="E76" s="23" t="n">
        <v>0</v>
      </c>
    </row>
    <row r="77" customFormat="false" ht="14.45" hidden="false" customHeight="false" outlineLevel="0" collapsed="false">
      <c r="A77" s="22" t="s">
        <v>250</v>
      </c>
      <c r="B77" s="22" t="s">
        <v>260</v>
      </c>
      <c r="C77" s="22" t="n">
        <v>0</v>
      </c>
      <c r="D77" s="22" t="s">
        <v>207</v>
      </c>
      <c r="E77" s="23" t="n">
        <v>0</v>
      </c>
    </row>
    <row r="78" customFormat="false" ht="14.45" hidden="false" customHeight="false" outlineLevel="0" collapsed="false">
      <c r="A78" s="22" t="s">
        <v>250</v>
      </c>
      <c r="B78" s="22" t="s">
        <v>260</v>
      </c>
      <c r="C78" s="22" t="s">
        <v>261</v>
      </c>
      <c r="D78" s="22" t="s">
        <v>206</v>
      </c>
      <c r="E78" s="23" t="n">
        <v>6316.2</v>
      </c>
    </row>
    <row r="79" customFormat="false" ht="14.45" hidden="false" customHeight="false" outlineLevel="0" collapsed="false">
      <c r="A79" s="22" t="s">
        <v>250</v>
      </c>
      <c r="B79" s="22" t="s">
        <v>260</v>
      </c>
      <c r="C79" s="22" t="s">
        <v>261</v>
      </c>
      <c r="D79" s="22" t="s">
        <v>205</v>
      </c>
      <c r="E79" s="23" t="n">
        <v>5740.35</v>
      </c>
    </row>
    <row r="80" customFormat="false" ht="14.45" hidden="false" customHeight="false" outlineLevel="0" collapsed="false">
      <c r="A80" s="22" t="s">
        <v>250</v>
      </c>
      <c r="B80" s="22" t="s">
        <v>258</v>
      </c>
      <c r="C80" s="22" t="n">
        <v>0</v>
      </c>
      <c r="D80" s="22" t="s">
        <v>207</v>
      </c>
      <c r="E80" s="23" t="n">
        <v>0</v>
      </c>
    </row>
    <row r="81" customFormat="false" ht="14.45" hidden="false" customHeight="false" outlineLevel="0" collapsed="false">
      <c r="A81" s="22" t="s">
        <v>250</v>
      </c>
      <c r="B81" s="22" t="s">
        <v>258</v>
      </c>
      <c r="C81" s="22" t="n">
        <v>0</v>
      </c>
      <c r="D81" s="22" t="s">
        <v>205</v>
      </c>
      <c r="E81" s="23" t="n">
        <v>0</v>
      </c>
    </row>
    <row r="82" customFormat="false" ht="14.45" hidden="false" customHeight="false" outlineLevel="0" collapsed="false">
      <c r="A82" s="22" t="s">
        <v>250</v>
      </c>
      <c r="B82" s="22" t="s">
        <v>258</v>
      </c>
      <c r="C82" s="22" t="s">
        <v>259</v>
      </c>
      <c r="D82" s="22" t="s">
        <v>209</v>
      </c>
      <c r="E82" s="23" t="n">
        <v>26419.87</v>
      </c>
    </row>
    <row r="83" customFormat="false" ht="14.45" hidden="false" customHeight="false" outlineLevel="0" collapsed="false">
      <c r="A83" s="22" t="s">
        <v>250</v>
      </c>
      <c r="B83" s="22" t="s">
        <v>258</v>
      </c>
      <c r="C83" s="22" t="s">
        <v>259</v>
      </c>
      <c r="D83" s="22" t="s">
        <v>206</v>
      </c>
      <c r="E83" s="23" t="n">
        <v>24391.605</v>
      </c>
    </row>
    <row r="84" customFormat="false" ht="14.45" hidden="false" customHeight="false" outlineLevel="0" collapsed="false">
      <c r="A84" s="22" t="s">
        <v>250</v>
      </c>
      <c r="B84" s="22" t="s">
        <v>256</v>
      </c>
      <c r="C84" s="22" t="n">
        <v>0</v>
      </c>
      <c r="D84" s="22" t="s">
        <v>207</v>
      </c>
      <c r="E84" s="23" t="n">
        <v>0</v>
      </c>
    </row>
    <row r="85" customFormat="false" ht="14.45" hidden="false" customHeight="false" outlineLevel="0" collapsed="false">
      <c r="A85" s="22" t="s">
        <v>250</v>
      </c>
      <c r="B85" s="22" t="s">
        <v>256</v>
      </c>
      <c r="C85" s="22" t="n">
        <v>0</v>
      </c>
      <c r="D85" s="22" t="s">
        <v>205</v>
      </c>
      <c r="E85" s="23" t="n">
        <v>0</v>
      </c>
    </row>
    <row r="86" customFormat="false" ht="14.45" hidden="false" customHeight="false" outlineLevel="0" collapsed="false">
      <c r="A86" s="22" t="s">
        <v>250</v>
      </c>
      <c r="B86" s="22" t="s">
        <v>256</v>
      </c>
      <c r="C86" s="22" t="s">
        <v>257</v>
      </c>
      <c r="D86" s="22" t="s">
        <v>209</v>
      </c>
      <c r="E86" s="23" t="n">
        <v>24504.48</v>
      </c>
    </row>
    <row r="87" customFormat="false" ht="14.45" hidden="false" customHeight="false" outlineLevel="0" collapsed="false">
      <c r="A87" s="22" t="s">
        <v>250</v>
      </c>
      <c r="B87" s="22" t="s">
        <v>256</v>
      </c>
      <c r="C87" s="22" t="s">
        <v>257</v>
      </c>
      <c r="D87" s="22" t="s">
        <v>206</v>
      </c>
      <c r="E87" s="23" t="n">
        <v>26231.04</v>
      </c>
    </row>
    <row r="88" customFormat="false" ht="14.45" hidden="false" customHeight="false" outlineLevel="0" collapsed="false">
      <c r="A88" s="22" t="s">
        <v>250</v>
      </c>
      <c r="B88" s="22" t="s">
        <v>254</v>
      </c>
      <c r="C88" s="22" t="s">
        <v>255</v>
      </c>
      <c r="D88" s="22" t="s">
        <v>209</v>
      </c>
      <c r="E88" s="23" t="n">
        <v>36313.32</v>
      </c>
    </row>
    <row r="89" customFormat="false" ht="14.45" hidden="false" customHeight="false" outlineLevel="0" collapsed="false">
      <c r="A89" s="22" t="s">
        <v>250</v>
      </c>
      <c r="B89" s="22" t="s">
        <v>254</v>
      </c>
      <c r="C89" s="22" t="s">
        <v>255</v>
      </c>
      <c r="D89" s="22" t="s">
        <v>206</v>
      </c>
      <c r="E89" s="23" t="n">
        <v>35590.8</v>
      </c>
    </row>
    <row r="90" customFormat="false" ht="14.45" hidden="false" customHeight="false" outlineLevel="0" collapsed="false">
      <c r="A90" s="22" t="s">
        <v>250</v>
      </c>
      <c r="B90" s="22" t="s">
        <v>254</v>
      </c>
      <c r="C90" s="22" t="s">
        <v>255</v>
      </c>
      <c r="D90" s="22" t="s">
        <v>207</v>
      </c>
      <c r="E90" s="23" t="n">
        <v>33409.86</v>
      </c>
    </row>
    <row r="91" customFormat="false" ht="14.45" hidden="false" customHeight="false" outlineLevel="0" collapsed="false">
      <c r="A91" s="22" t="s">
        <v>250</v>
      </c>
      <c r="B91" s="22" t="s">
        <v>254</v>
      </c>
      <c r="C91" s="22" t="s">
        <v>255</v>
      </c>
      <c r="D91" s="22" t="s">
        <v>205</v>
      </c>
      <c r="E91" s="23" t="n">
        <v>30863.2</v>
      </c>
    </row>
    <row r="92" customFormat="false" ht="14.45" hidden="false" customHeight="false" outlineLevel="0" collapsed="false">
      <c r="A92" s="22" t="s">
        <v>264</v>
      </c>
      <c r="B92" s="22" t="s">
        <v>267</v>
      </c>
      <c r="C92" s="22" t="n">
        <v>0</v>
      </c>
      <c r="D92" s="22" t="s">
        <v>209</v>
      </c>
      <c r="E92" s="23" t="n">
        <v>0</v>
      </c>
    </row>
    <row r="93" customFormat="false" ht="14.45" hidden="false" customHeight="false" outlineLevel="0" collapsed="false">
      <c r="A93" s="22" t="s">
        <v>264</v>
      </c>
      <c r="B93" s="22" t="s">
        <v>267</v>
      </c>
      <c r="C93" s="22" t="n">
        <v>0</v>
      </c>
      <c r="D93" s="22" t="s">
        <v>206</v>
      </c>
      <c r="E93" s="23" t="n">
        <v>0</v>
      </c>
    </row>
    <row r="94" customFormat="false" ht="14.45" hidden="false" customHeight="false" outlineLevel="0" collapsed="false">
      <c r="A94" s="22" t="s">
        <v>264</v>
      </c>
      <c r="B94" s="22" t="s">
        <v>267</v>
      </c>
      <c r="C94" s="22" t="n">
        <v>0</v>
      </c>
      <c r="D94" s="22" t="s">
        <v>205</v>
      </c>
      <c r="E94" s="23" t="n">
        <v>0</v>
      </c>
    </row>
    <row r="95" customFormat="false" ht="14.45" hidden="false" customHeight="false" outlineLevel="0" collapsed="false">
      <c r="A95" s="22" t="s">
        <v>264</v>
      </c>
      <c r="B95" s="22" t="s">
        <v>267</v>
      </c>
      <c r="C95" s="22" t="s">
        <v>268</v>
      </c>
      <c r="D95" s="22" t="s">
        <v>207</v>
      </c>
      <c r="E95" s="23" t="n">
        <v>39670.4</v>
      </c>
    </row>
    <row r="96" customFormat="false" ht="14.45" hidden="false" customHeight="false" outlineLevel="0" collapsed="false">
      <c r="A96" s="22" t="s">
        <v>264</v>
      </c>
      <c r="B96" s="22" t="s">
        <v>265</v>
      </c>
      <c r="C96" s="22" t="s">
        <v>266</v>
      </c>
      <c r="D96" s="22" t="s">
        <v>209</v>
      </c>
      <c r="E96" s="23" t="n">
        <v>18165.4</v>
      </c>
    </row>
    <row r="97" customFormat="false" ht="14.45" hidden="false" customHeight="false" outlineLevel="0" collapsed="false">
      <c r="A97" s="22" t="s">
        <v>264</v>
      </c>
      <c r="B97" s="22" t="s">
        <v>265</v>
      </c>
      <c r="C97" s="22" t="s">
        <v>266</v>
      </c>
      <c r="D97" s="22" t="s">
        <v>206</v>
      </c>
      <c r="E97" s="23" t="n">
        <v>16330</v>
      </c>
    </row>
    <row r="98" customFormat="false" ht="14.45" hidden="false" customHeight="false" outlineLevel="0" collapsed="false">
      <c r="A98" s="22" t="s">
        <v>264</v>
      </c>
      <c r="B98" s="22" t="s">
        <v>265</v>
      </c>
      <c r="C98" s="22" t="s">
        <v>266</v>
      </c>
      <c r="D98" s="22" t="s">
        <v>207</v>
      </c>
      <c r="E98" s="23" t="n">
        <v>17339.7</v>
      </c>
    </row>
    <row r="99" customFormat="false" ht="14.45" hidden="false" customHeight="false" outlineLevel="0" collapsed="false">
      <c r="A99" s="22" t="s">
        <v>264</v>
      </c>
      <c r="B99" s="22" t="s">
        <v>265</v>
      </c>
      <c r="C99" s="22" t="s">
        <v>266</v>
      </c>
      <c r="D99" s="22" t="s">
        <v>205</v>
      </c>
      <c r="E99" s="23" t="n">
        <v>18515</v>
      </c>
    </row>
    <row r="100" customFormat="false" ht="14.45" hidden="false" customHeight="false" outlineLevel="0" collapsed="false">
      <c r="A100" s="22" t="s">
        <v>269</v>
      </c>
      <c r="B100" s="22" t="s">
        <v>272</v>
      </c>
      <c r="C100" s="22" t="n">
        <v>0</v>
      </c>
      <c r="D100" s="22" t="s">
        <v>209</v>
      </c>
      <c r="E100" s="23" t="n">
        <v>0</v>
      </c>
    </row>
    <row r="101" customFormat="false" ht="14.45" hidden="false" customHeight="false" outlineLevel="0" collapsed="false">
      <c r="A101" s="22" t="s">
        <v>269</v>
      </c>
      <c r="B101" s="22" t="s">
        <v>272</v>
      </c>
      <c r="C101" s="22" t="n">
        <v>0</v>
      </c>
      <c r="D101" s="22" t="s">
        <v>205</v>
      </c>
      <c r="E101" s="23" t="n">
        <v>0</v>
      </c>
    </row>
    <row r="102" customFormat="false" ht="14.45" hidden="false" customHeight="false" outlineLevel="0" collapsed="false">
      <c r="A102" s="22" t="s">
        <v>269</v>
      </c>
      <c r="B102" s="22" t="s">
        <v>272</v>
      </c>
      <c r="C102" s="22" t="s">
        <v>273</v>
      </c>
      <c r="D102" s="22" t="s">
        <v>206</v>
      </c>
      <c r="E102" s="23" t="n">
        <v>2449.02</v>
      </c>
    </row>
    <row r="103" customFormat="false" ht="14.45" hidden="false" customHeight="false" outlineLevel="0" collapsed="false">
      <c r="A103" s="22" t="s">
        <v>269</v>
      </c>
      <c r="B103" s="22" t="s">
        <v>272</v>
      </c>
      <c r="C103" s="22" t="s">
        <v>273</v>
      </c>
      <c r="D103" s="22" t="s">
        <v>207</v>
      </c>
      <c r="E103" s="23" t="n">
        <v>2651.66</v>
      </c>
    </row>
    <row r="104" customFormat="false" ht="14.45" hidden="false" customHeight="false" outlineLevel="0" collapsed="false">
      <c r="A104" s="22" t="s">
        <v>269</v>
      </c>
      <c r="B104" s="22" t="s">
        <v>270</v>
      </c>
      <c r="C104" s="22" t="n">
        <v>0</v>
      </c>
      <c r="D104" s="22" t="s">
        <v>209</v>
      </c>
      <c r="E104" s="23" t="n">
        <v>0</v>
      </c>
    </row>
    <row r="105" customFormat="false" ht="14.45" hidden="false" customHeight="false" outlineLevel="0" collapsed="false">
      <c r="A105" s="22" t="s">
        <v>269</v>
      </c>
      <c r="B105" s="22" t="s">
        <v>270</v>
      </c>
      <c r="C105" s="22" t="n">
        <v>0</v>
      </c>
      <c r="D105" s="22" t="s">
        <v>206</v>
      </c>
      <c r="E105" s="23" t="n">
        <v>0</v>
      </c>
    </row>
    <row r="106" customFormat="false" ht="14.45" hidden="false" customHeight="false" outlineLevel="0" collapsed="false">
      <c r="A106" s="22" t="s">
        <v>269</v>
      </c>
      <c r="B106" s="22" t="s">
        <v>270</v>
      </c>
      <c r="C106" s="22" t="n">
        <v>0</v>
      </c>
      <c r="D106" s="22" t="s">
        <v>205</v>
      </c>
      <c r="E106" s="23" t="n">
        <v>0</v>
      </c>
    </row>
    <row r="107" customFormat="false" ht="14.45" hidden="false" customHeight="false" outlineLevel="0" collapsed="false">
      <c r="A107" s="22" t="s">
        <v>269</v>
      </c>
      <c r="B107" s="22" t="s">
        <v>270</v>
      </c>
      <c r="C107" s="22" t="s">
        <v>271</v>
      </c>
      <c r="D107" s="22" t="s">
        <v>207</v>
      </c>
      <c r="E107" s="23" t="n">
        <v>68098</v>
      </c>
    </row>
    <row r="108" customFormat="false" ht="14.45" hidden="false" customHeight="false" outlineLevel="0" collapsed="false">
      <c r="A108" s="22" t="s">
        <v>269</v>
      </c>
      <c r="B108" s="22" t="s">
        <v>274</v>
      </c>
      <c r="C108" s="22" t="n">
        <v>0</v>
      </c>
      <c r="D108" s="22" t="s">
        <v>206</v>
      </c>
      <c r="E108" s="23" t="n">
        <v>0</v>
      </c>
    </row>
    <row r="109" customFormat="false" ht="14.45" hidden="false" customHeight="false" outlineLevel="0" collapsed="false">
      <c r="A109" s="22" t="s">
        <v>269</v>
      </c>
      <c r="B109" s="22" t="s">
        <v>274</v>
      </c>
      <c r="C109" s="22" t="n">
        <v>0</v>
      </c>
      <c r="D109" s="22" t="s">
        <v>207</v>
      </c>
      <c r="E109" s="23" t="n">
        <v>0</v>
      </c>
    </row>
    <row r="110" customFormat="false" ht="14.45" hidden="false" customHeight="false" outlineLevel="0" collapsed="false">
      <c r="A110" s="22" t="s">
        <v>269</v>
      </c>
      <c r="B110" s="22" t="s">
        <v>274</v>
      </c>
      <c r="C110" s="22" t="n">
        <v>0</v>
      </c>
      <c r="D110" s="22" t="s">
        <v>205</v>
      </c>
      <c r="E110" s="23" t="n">
        <v>0</v>
      </c>
    </row>
    <row r="111" customFormat="false" ht="14.45" hidden="false" customHeight="false" outlineLevel="0" collapsed="false">
      <c r="A111" s="22" t="s">
        <v>269</v>
      </c>
      <c r="B111" s="22" t="s">
        <v>274</v>
      </c>
      <c r="C111" s="22" t="s">
        <v>275</v>
      </c>
      <c r="D111" s="22" t="s">
        <v>209</v>
      </c>
      <c r="E111" s="23" t="n">
        <v>9309</v>
      </c>
    </row>
    <row r="112" customFormat="false" ht="14.45" hidden="false" customHeight="false" outlineLevel="0" collapsed="false">
      <c r="A112" s="22" t="s">
        <v>269</v>
      </c>
      <c r="B112" s="22" t="s">
        <v>276</v>
      </c>
      <c r="C112" s="22" t="n">
        <v>0</v>
      </c>
      <c r="D112" s="22" t="s">
        <v>209</v>
      </c>
      <c r="E112" s="23" t="n">
        <v>0</v>
      </c>
    </row>
    <row r="113" customFormat="false" ht="14.45" hidden="false" customHeight="false" outlineLevel="0" collapsed="false">
      <c r="A113" s="22" t="s">
        <v>269</v>
      </c>
      <c r="B113" s="22" t="s">
        <v>276</v>
      </c>
      <c r="C113" s="22" t="n">
        <v>0</v>
      </c>
      <c r="D113" s="22" t="s">
        <v>206</v>
      </c>
      <c r="E113" s="23" t="n">
        <v>0</v>
      </c>
    </row>
    <row r="114" customFormat="false" ht="14.45" hidden="false" customHeight="false" outlineLevel="0" collapsed="false">
      <c r="A114" s="22" t="s">
        <v>269</v>
      </c>
      <c r="B114" s="22" t="s">
        <v>276</v>
      </c>
      <c r="C114" s="22" t="n">
        <v>0</v>
      </c>
      <c r="D114" s="22" t="s">
        <v>207</v>
      </c>
      <c r="E114" s="23" t="n">
        <v>0</v>
      </c>
    </row>
    <row r="115" customFormat="false" ht="14.45" hidden="false" customHeight="false" outlineLevel="0" collapsed="false">
      <c r="A115" s="22" t="s">
        <v>269</v>
      </c>
      <c r="B115" s="22" t="s">
        <v>276</v>
      </c>
      <c r="C115" s="22" t="s">
        <v>277</v>
      </c>
      <c r="D115" s="22" t="s">
        <v>205</v>
      </c>
      <c r="E115" s="23" t="n">
        <v>23004</v>
      </c>
    </row>
    <row r="116" customFormat="false" ht="14.45" hidden="false" customHeight="false" outlineLevel="0" collapsed="false">
      <c r="A116" s="22" t="s">
        <v>278</v>
      </c>
      <c r="B116" s="22" t="s">
        <v>281</v>
      </c>
      <c r="C116" s="22" t="n">
        <v>0</v>
      </c>
      <c r="D116" s="22" t="s">
        <v>209</v>
      </c>
      <c r="E116" s="23" t="n">
        <v>0</v>
      </c>
    </row>
    <row r="117" customFormat="false" ht="14.45" hidden="false" customHeight="false" outlineLevel="0" collapsed="false">
      <c r="A117" s="22" t="s">
        <v>278</v>
      </c>
      <c r="B117" s="22" t="s">
        <v>281</v>
      </c>
      <c r="C117" s="22" t="n">
        <v>0</v>
      </c>
      <c r="D117" s="22" t="s">
        <v>206</v>
      </c>
      <c r="E117" s="23" t="n">
        <v>0</v>
      </c>
    </row>
    <row r="118" customFormat="false" ht="14.45" hidden="false" customHeight="false" outlineLevel="0" collapsed="false">
      <c r="A118" s="22" t="s">
        <v>278</v>
      </c>
      <c r="B118" s="22" t="s">
        <v>281</v>
      </c>
      <c r="C118" s="22" t="n">
        <v>0</v>
      </c>
      <c r="D118" s="22" t="s">
        <v>205</v>
      </c>
      <c r="E118" s="23" t="n">
        <v>0</v>
      </c>
    </row>
    <row r="119" customFormat="false" ht="14.45" hidden="false" customHeight="false" outlineLevel="0" collapsed="false">
      <c r="A119" s="22" t="s">
        <v>278</v>
      </c>
      <c r="B119" s="22" t="s">
        <v>281</v>
      </c>
      <c r="C119" s="22" t="s">
        <v>282</v>
      </c>
      <c r="D119" s="22" t="s">
        <v>207</v>
      </c>
      <c r="E119" s="23" t="n">
        <v>45704</v>
      </c>
    </row>
    <row r="120" customFormat="false" ht="14.45" hidden="false" customHeight="false" outlineLevel="0" collapsed="false">
      <c r="A120" s="22" t="s">
        <v>278</v>
      </c>
      <c r="B120" s="22" t="s">
        <v>285</v>
      </c>
      <c r="C120" s="22" t="n">
        <v>0</v>
      </c>
      <c r="D120" s="22" t="s">
        <v>206</v>
      </c>
      <c r="E120" s="23" t="n">
        <v>0</v>
      </c>
    </row>
    <row r="121" customFormat="false" ht="14.45" hidden="false" customHeight="false" outlineLevel="0" collapsed="false">
      <c r="A121" s="22" t="s">
        <v>278</v>
      </c>
      <c r="B121" s="22" t="s">
        <v>285</v>
      </c>
      <c r="C121" s="22" t="n">
        <v>0</v>
      </c>
      <c r="D121" s="22" t="s">
        <v>205</v>
      </c>
      <c r="E121" s="23" t="n">
        <v>0</v>
      </c>
    </row>
    <row r="122" customFormat="false" ht="14.45" hidden="false" customHeight="false" outlineLevel="0" collapsed="false">
      <c r="A122" s="22" t="s">
        <v>278</v>
      </c>
      <c r="B122" s="22" t="s">
        <v>285</v>
      </c>
      <c r="C122" s="22" t="s">
        <v>286</v>
      </c>
      <c r="D122" s="22" t="s">
        <v>209</v>
      </c>
      <c r="E122" s="23" t="n">
        <v>19698</v>
      </c>
    </row>
    <row r="123" customFormat="false" ht="14.45" hidden="false" customHeight="false" outlineLevel="0" collapsed="false">
      <c r="A123" s="22" t="s">
        <v>278</v>
      </c>
      <c r="B123" s="22" t="s">
        <v>285</v>
      </c>
      <c r="C123" s="22" t="s">
        <v>286</v>
      </c>
      <c r="D123" s="22" t="s">
        <v>207</v>
      </c>
      <c r="E123" s="23" t="n">
        <v>17696</v>
      </c>
    </row>
    <row r="124" customFormat="false" ht="14.45" hidden="false" customHeight="false" outlineLevel="0" collapsed="false">
      <c r="A124" s="22" t="s">
        <v>278</v>
      </c>
      <c r="B124" s="22" t="s">
        <v>283</v>
      </c>
      <c r="C124" s="22" t="n">
        <v>0</v>
      </c>
      <c r="D124" s="22" t="s">
        <v>206</v>
      </c>
      <c r="E124" s="23" t="n">
        <v>0</v>
      </c>
    </row>
    <row r="125" customFormat="false" ht="14.45" hidden="false" customHeight="false" outlineLevel="0" collapsed="false">
      <c r="A125" s="22" t="s">
        <v>278</v>
      </c>
      <c r="B125" s="22" t="s">
        <v>283</v>
      </c>
      <c r="C125" s="22" t="n">
        <v>0</v>
      </c>
      <c r="D125" s="22" t="s">
        <v>207</v>
      </c>
      <c r="E125" s="23" t="n">
        <v>0</v>
      </c>
    </row>
    <row r="126" customFormat="false" ht="14.45" hidden="false" customHeight="false" outlineLevel="0" collapsed="false">
      <c r="A126" s="22" t="s">
        <v>278</v>
      </c>
      <c r="B126" s="22" t="s">
        <v>283</v>
      </c>
      <c r="C126" s="22" t="s">
        <v>284</v>
      </c>
      <c r="D126" s="22" t="s">
        <v>209</v>
      </c>
      <c r="E126" s="23" t="n">
        <v>57509.2</v>
      </c>
    </row>
    <row r="127" customFormat="false" ht="14.45" hidden="false" customHeight="false" outlineLevel="0" collapsed="false">
      <c r="A127" s="22" t="s">
        <v>278</v>
      </c>
      <c r="B127" s="22" t="s">
        <v>283</v>
      </c>
      <c r="C127" s="22" t="s">
        <v>284</v>
      </c>
      <c r="D127" s="22" t="s">
        <v>205</v>
      </c>
      <c r="E127" s="23" t="n">
        <v>63103.845</v>
      </c>
    </row>
    <row r="128" customFormat="false" ht="14.45" hidden="false" customHeight="false" outlineLevel="0" collapsed="false">
      <c r="A128" s="22" t="s">
        <v>278</v>
      </c>
      <c r="B128" s="22" t="s">
        <v>279</v>
      </c>
      <c r="C128" s="22" t="n">
        <v>0</v>
      </c>
      <c r="D128" s="22" t="s">
        <v>206</v>
      </c>
      <c r="E128" s="23" t="n">
        <v>0</v>
      </c>
    </row>
    <row r="129" customFormat="false" ht="14.45" hidden="false" customHeight="false" outlineLevel="0" collapsed="false">
      <c r="A129" s="22" t="s">
        <v>278</v>
      </c>
      <c r="B129" s="22" t="s">
        <v>279</v>
      </c>
      <c r="C129" s="22" t="n">
        <v>0</v>
      </c>
      <c r="D129" s="22" t="s">
        <v>205</v>
      </c>
      <c r="E129" s="23" t="n">
        <v>0</v>
      </c>
    </row>
    <row r="130" customFormat="false" ht="14.45" hidden="false" customHeight="false" outlineLevel="0" collapsed="false">
      <c r="A130" s="22" t="s">
        <v>278</v>
      </c>
      <c r="B130" s="22" t="s">
        <v>279</v>
      </c>
      <c r="C130" s="22" t="s">
        <v>280</v>
      </c>
      <c r="D130" s="22" t="s">
        <v>209</v>
      </c>
      <c r="E130" s="23" t="n">
        <v>367.5</v>
      </c>
    </row>
    <row r="131" customFormat="false" ht="14.45" hidden="false" customHeight="false" outlineLevel="0" collapsed="false">
      <c r="A131" s="22" t="s">
        <v>278</v>
      </c>
      <c r="B131" s="22" t="s">
        <v>279</v>
      </c>
      <c r="C131" s="22" t="s">
        <v>280</v>
      </c>
      <c r="D131" s="22" t="s">
        <v>207</v>
      </c>
      <c r="E131" s="23" t="n">
        <v>343.2</v>
      </c>
    </row>
    <row r="132" customFormat="false" ht="14.45" hidden="false" customHeight="false" outlineLevel="0" collapsed="false">
      <c r="A132" s="22" t="s">
        <v>278</v>
      </c>
      <c r="B132" s="22" t="s">
        <v>287</v>
      </c>
      <c r="C132" s="22" t="n">
        <v>0</v>
      </c>
      <c r="D132" s="22" t="s">
        <v>209</v>
      </c>
      <c r="E132" s="23" t="n">
        <v>0</v>
      </c>
    </row>
    <row r="133" customFormat="false" ht="14.45" hidden="false" customHeight="false" outlineLevel="0" collapsed="false">
      <c r="A133" s="22" t="s">
        <v>278</v>
      </c>
      <c r="B133" s="22" t="s">
        <v>287</v>
      </c>
      <c r="C133" s="22" t="n">
        <v>0</v>
      </c>
      <c r="D133" s="22" t="s">
        <v>207</v>
      </c>
      <c r="E133" s="23" t="n">
        <v>0</v>
      </c>
    </row>
    <row r="134" customFormat="false" ht="14.45" hidden="false" customHeight="false" outlineLevel="0" collapsed="false">
      <c r="A134" s="22" t="s">
        <v>278</v>
      </c>
      <c r="B134" s="22" t="s">
        <v>287</v>
      </c>
      <c r="C134" s="22" t="n">
        <v>0</v>
      </c>
      <c r="D134" s="22" t="s">
        <v>205</v>
      </c>
      <c r="E134" s="23" t="n">
        <v>0</v>
      </c>
    </row>
    <row r="135" customFormat="false" ht="14.45" hidden="false" customHeight="false" outlineLevel="0" collapsed="false">
      <c r="A135" s="22" t="s">
        <v>278</v>
      </c>
      <c r="B135" s="22" t="s">
        <v>287</v>
      </c>
      <c r="C135" s="22" t="s">
        <v>288</v>
      </c>
      <c r="D135" s="22" t="s">
        <v>206</v>
      </c>
      <c r="E135" s="23" t="n">
        <v>67106</v>
      </c>
    </row>
    <row r="136" customFormat="false" ht="14.45" hidden="false" customHeight="false" outlineLevel="0" collapsed="false">
      <c r="A136" s="22" t="s">
        <v>289</v>
      </c>
      <c r="B136" s="22" t="s">
        <v>290</v>
      </c>
      <c r="C136" s="22" t="n">
        <v>0</v>
      </c>
      <c r="D136" s="22" t="s">
        <v>206</v>
      </c>
      <c r="E136" s="23" t="n">
        <v>0</v>
      </c>
    </row>
    <row r="137" customFormat="false" ht="14.45" hidden="false" customHeight="false" outlineLevel="0" collapsed="false">
      <c r="A137" s="22" t="s">
        <v>289</v>
      </c>
      <c r="B137" s="22" t="s">
        <v>290</v>
      </c>
      <c r="C137" s="22" t="n">
        <v>0</v>
      </c>
      <c r="D137" s="22" t="s">
        <v>207</v>
      </c>
      <c r="E137" s="23" t="n">
        <v>0</v>
      </c>
    </row>
    <row r="138" customFormat="false" ht="14.45" hidden="false" customHeight="false" outlineLevel="0" collapsed="false">
      <c r="A138" s="22" t="s">
        <v>289</v>
      </c>
      <c r="B138" s="22" t="s">
        <v>290</v>
      </c>
      <c r="C138" s="22" t="s">
        <v>291</v>
      </c>
      <c r="D138" s="22" t="s">
        <v>209</v>
      </c>
      <c r="E138" s="23" t="n">
        <v>15750</v>
      </c>
    </row>
    <row r="139" customFormat="false" ht="14.45" hidden="false" customHeight="false" outlineLevel="0" collapsed="false">
      <c r="A139" s="22" t="s">
        <v>289</v>
      </c>
      <c r="B139" s="22" t="s">
        <v>290</v>
      </c>
      <c r="C139" s="22" t="s">
        <v>291</v>
      </c>
      <c r="D139" s="22" t="s">
        <v>205</v>
      </c>
      <c r="E139" s="23" t="n">
        <v>25080</v>
      </c>
    </row>
    <row r="140" customFormat="false" ht="14.45" hidden="false" customHeight="false" outlineLevel="0" collapsed="false">
      <c r="A140" s="22" t="s">
        <v>289</v>
      </c>
      <c r="B140" s="22" t="s">
        <v>296</v>
      </c>
      <c r="C140" s="22" t="n">
        <v>0</v>
      </c>
      <c r="D140" s="22" t="s">
        <v>209</v>
      </c>
      <c r="E140" s="23" t="n">
        <v>0</v>
      </c>
    </row>
    <row r="141" customFormat="false" ht="14.45" hidden="false" customHeight="false" outlineLevel="0" collapsed="false">
      <c r="A141" s="22" t="s">
        <v>289</v>
      </c>
      <c r="B141" s="22" t="s">
        <v>296</v>
      </c>
      <c r="C141" s="22" t="n">
        <v>0</v>
      </c>
      <c r="D141" s="22" t="s">
        <v>207</v>
      </c>
      <c r="E141" s="23" t="n">
        <v>0</v>
      </c>
    </row>
    <row r="142" customFormat="false" ht="14.45" hidden="false" customHeight="false" outlineLevel="0" collapsed="false">
      <c r="A142" s="22" t="s">
        <v>289</v>
      </c>
      <c r="B142" s="22" t="s">
        <v>296</v>
      </c>
      <c r="C142" s="22" t="n">
        <v>0</v>
      </c>
      <c r="D142" s="22" t="s">
        <v>205</v>
      </c>
      <c r="E142" s="23" t="n">
        <v>0</v>
      </c>
    </row>
    <row r="143" customFormat="false" ht="14.45" hidden="false" customHeight="false" outlineLevel="0" collapsed="false">
      <c r="A143" s="22" t="s">
        <v>289</v>
      </c>
      <c r="B143" s="22" t="s">
        <v>296</v>
      </c>
      <c r="C143" s="22" t="s">
        <v>297</v>
      </c>
      <c r="D143" s="22" t="s">
        <v>206</v>
      </c>
      <c r="E143" s="23" t="n">
        <v>4000</v>
      </c>
    </row>
    <row r="144" customFormat="false" ht="14.45" hidden="false" customHeight="false" outlineLevel="0" collapsed="false">
      <c r="A144" s="22" t="s">
        <v>289</v>
      </c>
      <c r="B144" s="22" t="s">
        <v>267</v>
      </c>
      <c r="C144" s="22" t="n">
        <v>0</v>
      </c>
      <c r="D144" s="22" t="s">
        <v>209</v>
      </c>
      <c r="E144" s="23" t="n">
        <v>0</v>
      </c>
    </row>
    <row r="145" customFormat="false" ht="14.45" hidden="false" customHeight="false" outlineLevel="0" collapsed="false">
      <c r="A145" s="22" t="s">
        <v>289</v>
      </c>
      <c r="B145" s="22" t="s">
        <v>267</v>
      </c>
      <c r="C145" s="22" t="n">
        <v>0</v>
      </c>
      <c r="D145" s="22" t="s">
        <v>206</v>
      </c>
      <c r="E145" s="23" t="n">
        <v>0</v>
      </c>
    </row>
    <row r="146" customFormat="false" ht="14.45" hidden="false" customHeight="false" outlineLevel="0" collapsed="false">
      <c r="A146" s="22" t="s">
        <v>289</v>
      </c>
      <c r="B146" s="22" t="s">
        <v>267</v>
      </c>
      <c r="C146" s="22" t="n">
        <v>0</v>
      </c>
      <c r="D146" s="22" t="s">
        <v>205</v>
      </c>
      <c r="E146" s="23" t="n">
        <v>0</v>
      </c>
    </row>
    <row r="147" customFormat="false" ht="14.45" hidden="false" customHeight="false" outlineLevel="0" collapsed="false">
      <c r="A147" s="22" t="s">
        <v>289</v>
      </c>
      <c r="B147" s="22" t="s">
        <v>267</v>
      </c>
      <c r="C147" s="22" t="s">
        <v>268</v>
      </c>
      <c r="D147" s="22" t="s">
        <v>207</v>
      </c>
      <c r="E147" s="23" t="n">
        <v>55862.4</v>
      </c>
    </row>
    <row r="148" customFormat="false" ht="14.45" hidden="false" customHeight="false" outlineLevel="0" collapsed="false">
      <c r="A148" s="22" t="s">
        <v>289</v>
      </c>
      <c r="B148" s="22" t="s">
        <v>265</v>
      </c>
      <c r="C148" s="22" t="s">
        <v>266</v>
      </c>
      <c r="D148" s="22" t="s">
        <v>209</v>
      </c>
      <c r="E148" s="23" t="n">
        <v>26063.4</v>
      </c>
    </row>
    <row r="149" customFormat="false" ht="14.45" hidden="false" customHeight="false" outlineLevel="0" collapsed="false">
      <c r="A149" s="22" t="s">
        <v>289</v>
      </c>
      <c r="B149" s="22" t="s">
        <v>265</v>
      </c>
      <c r="C149" s="22" t="s">
        <v>266</v>
      </c>
      <c r="D149" s="22" t="s">
        <v>206</v>
      </c>
      <c r="E149" s="23" t="n">
        <v>23430</v>
      </c>
    </row>
    <row r="150" customFormat="false" ht="14.45" hidden="false" customHeight="false" outlineLevel="0" collapsed="false">
      <c r="A150" s="22" t="s">
        <v>289</v>
      </c>
      <c r="B150" s="22" t="s">
        <v>265</v>
      </c>
      <c r="C150" s="22" t="s">
        <v>266</v>
      </c>
      <c r="D150" s="22" t="s">
        <v>207</v>
      </c>
      <c r="E150" s="23" t="n">
        <v>24878.7</v>
      </c>
    </row>
    <row r="151" customFormat="false" ht="14.45" hidden="false" customHeight="false" outlineLevel="0" collapsed="false">
      <c r="A151" s="22" t="s">
        <v>289</v>
      </c>
      <c r="B151" s="22" t="s">
        <v>265</v>
      </c>
      <c r="C151" s="22" t="s">
        <v>266</v>
      </c>
      <c r="D151" s="22" t="s">
        <v>205</v>
      </c>
      <c r="E151" s="23" t="n">
        <v>26565</v>
      </c>
    </row>
    <row r="152" customFormat="false" ht="14.45" hidden="false" customHeight="false" outlineLevel="0" collapsed="false">
      <c r="A152" s="22" t="s">
        <v>289</v>
      </c>
      <c r="B152" s="22" t="s">
        <v>292</v>
      </c>
      <c r="C152" s="22" t="n">
        <v>0</v>
      </c>
      <c r="D152" s="22" t="s">
        <v>209</v>
      </c>
      <c r="E152" s="23" t="n">
        <v>0</v>
      </c>
    </row>
    <row r="153" customFormat="false" ht="14.45" hidden="false" customHeight="false" outlineLevel="0" collapsed="false">
      <c r="A153" s="22" t="s">
        <v>289</v>
      </c>
      <c r="B153" s="22" t="s">
        <v>292</v>
      </c>
      <c r="C153" s="22" t="n">
        <v>0</v>
      </c>
      <c r="D153" s="22" t="s">
        <v>206</v>
      </c>
      <c r="E153" s="23" t="n">
        <v>0</v>
      </c>
    </row>
    <row r="154" customFormat="false" ht="14.45" hidden="false" customHeight="false" outlineLevel="0" collapsed="false">
      <c r="A154" s="22" t="s">
        <v>289</v>
      </c>
      <c r="B154" s="22" t="s">
        <v>292</v>
      </c>
      <c r="C154" s="22" t="n">
        <v>0</v>
      </c>
      <c r="D154" s="22" t="s">
        <v>207</v>
      </c>
      <c r="E154" s="23" t="n">
        <v>0</v>
      </c>
    </row>
    <row r="155" customFormat="false" ht="14.45" hidden="false" customHeight="false" outlineLevel="0" collapsed="false">
      <c r="A155" s="22" t="s">
        <v>289</v>
      </c>
      <c r="B155" s="22" t="s">
        <v>292</v>
      </c>
      <c r="C155" s="22" t="s">
        <v>293</v>
      </c>
      <c r="D155" s="22" t="s">
        <v>205</v>
      </c>
      <c r="E155" s="23" t="n">
        <v>4689.93</v>
      </c>
    </row>
    <row r="156" customFormat="false" ht="14.45" hidden="false" customHeight="false" outlineLevel="0" collapsed="false">
      <c r="A156" s="22" t="s">
        <v>289</v>
      </c>
      <c r="B156" s="22" t="s">
        <v>294</v>
      </c>
      <c r="C156" s="22" t="n">
        <v>0</v>
      </c>
      <c r="D156" s="22" t="s">
        <v>209</v>
      </c>
      <c r="E156" s="23" t="n">
        <v>0</v>
      </c>
    </row>
    <row r="157" customFormat="false" ht="14.45" hidden="false" customHeight="false" outlineLevel="0" collapsed="false">
      <c r="A157" s="22" t="s">
        <v>289</v>
      </c>
      <c r="B157" s="22" t="s">
        <v>294</v>
      </c>
      <c r="C157" s="22" t="n">
        <v>0</v>
      </c>
      <c r="D157" s="22" t="s">
        <v>206</v>
      </c>
      <c r="E157" s="23" t="n">
        <v>0</v>
      </c>
    </row>
    <row r="158" customFormat="false" ht="14.45" hidden="false" customHeight="false" outlineLevel="0" collapsed="false">
      <c r="A158" s="22" t="s">
        <v>289</v>
      </c>
      <c r="B158" s="22" t="s">
        <v>294</v>
      </c>
      <c r="C158" s="22" t="n">
        <v>0</v>
      </c>
      <c r="D158" s="22" t="s">
        <v>205</v>
      </c>
      <c r="E158" s="23" t="n">
        <v>0</v>
      </c>
    </row>
    <row r="159" customFormat="false" ht="14.45" hidden="false" customHeight="false" outlineLevel="0" collapsed="false">
      <c r="A159" s="22" t="s">
        <v>289</v>
      </c>
      <c r="B159" s="22" t="s">
        <v>294</v>
      </c>
      <c r="C159" s="22" t="s">
        <v>295</v>
      </c>
      <c r="D159" s="22" t="s">
        <v>207</v>
      </c>
      <c r="E159" s="23" t="n">
        <v>6275</v>
      </c>
    </row>
    <row r="160" customFormat="false" ht="14.45" hidden="false" customHeight="false" outlineLevel="0" collapsed="false">
      <c r="A160" s="22" t="s">
        <v>298</v>
      </c>
      <c r="B160" s="22" t="s">
        <v>304</v>
      </c>
      <c r="C160" s="22" t="n">
        <v>0</v>
      </c>
      <c r="D160" s="22" t="s">
        <v>206</v>
      </c>
      <c r="E160" s="23" t="n">
        <v>0</v>
      </c>
    </row>
    <row r="161" customFormat="false" ht="14.45" hidden="false" customHeight="false" outlineLevel="0" collapsed="false">
      <c r="A161" s="22" t="s">
        <v>298</v>
      </c>
      <c r="B161" s="22" t="s">
        <v>304</v>
      </c>
      <c r="C161" s="22" t="n">
        <v>0</v>
      </c>
      <c r="D161" s="22" t="s">
        <v>207</v>
      </c>
      <c r="E161" s="23" t="n">
        <v>0</v>
      </c>
    </row>
    <row r="162" customFormat="false" ht="14.45" hidden="false" customHeight="false" outlineLevel="0" collapsed="false">
      <c r="A162" s="22" t="s">
        <v>298</v>
      </c>
      <c r="B162" s="22" t="s">
        <v>304</v>
      </c>
      <c r="C162" s="22" t="n">
        <v>0</v>
      </c>
      <c r="D162" s="22" t="s">
        <v>205</v>
      </c>
      <c r="E162" s="23" t="n">
        <v>0</v>
      </c>
    </row>
    <row r="163" customFormat="false" ht="14.45" hidden="false" customHeight="false" outlineLevel="0" collapsed="false">
      <c r="A163" s="22" t="s">
        <v>298</v>
      </c>
      <c r="B163" s="22" t="s">
        <v>304</v>
      </c>
      <c r="C163" s="22" t="s">
        <v>305</v>
      </c>
      <c r="D163" s="22" t="s">
        <v>209</v>
      </c>
      <c r="E163" s="23" t="n">
        <v>47722.5</v>
      </c>
    </row>
    <row r="164" customFormat="false" ht="14.45" hidden="false" customHeight="false" outlineLevel="0" collapsed="false">
      <c r="A164" s="22" t="s">
        <v>298</v>
      </c>
      <c r="B164" s="22" t="s">
        <v>302</v>
      </c>
      <c r="C164" s="22" t="n">
        <v>0</v>
      </c>
      <c r="D164" s="22" t="s">
        <v>209</v>
      </c>
      <c r="E164" s="23" t="n">
        <v>0</v>
      </c>
    </row>
    <row r="165" customFormat="false" ht="14.45" hidden="false" customHeight="false" outlineLevel="0" collapsed="false">
      <c r="A165" s="22" t="s">
        <v>298</v>
      </c>
      <c r="B165" s="22" t="s">
        <v>302</v>
      </c>
      <c r="C165" s="22" t="n">
        <v>0</v>
      </c>
      <c r="D165" s="22" t="s">
        <v>207</v>
      </c>
      <c r="E165" s="23" t="n">
        <v>0</v>
      </c>
    </row>
    <row r="166" customFormat="false" ht="14.45" hidden="false" customHeight="false" outlineLevel="0" collapsed="false">
      <c r="A166" s="22" t="s">
        <v>298</v>
      </c>
      <c r="B166" s="22" t="s">
        <v>302</v>
      </c>
      <c r="C166" s="22" t="n">
        <v>0</v>
      </c>
      <c r="D166" s="22" t="s">
        <v>205</v>
      </c>
      <c r="E166" s="23" t="n">
        <v>0</v>
      </c>
    </row>
    <row r="167" customFormat="false" ht="14.45" hidden="false" customHeight="false" outlineLevel="0" collapsed="false">
      <c r="A167" s="22" t="s">
        <v>298</v>
      </c>
      <c r="B167" s="22" t="s">
        <v>302</v>
      </c>
      <c r="C167" s="22" t="s">
        <v>303</v>
      </c>
      <c r="D167" s="22" t="s">
        <v>206</v>
      </c>
      <c r="E167" s="23" t="n">
        <v>5504.205</v>
      </c>
    </row>
    <row r="168" customFormat="false" ht="14.45" hidden="false" customHeight="false" outlineLevel="0" collapsed="false">
      <c r="A168" s="22" t="s">
        <v>298</v>
      </c>
      <c r="B168" s="22" t="s">
        <v>300</v>
      </c>
      <c r="C168" s="22" t="n">
        <v>0</v>
      </c>
      <c r="D168" s="22" t="s">
        <v>206</v>
      </c>
      <c r="E168" s="23" t="n">
        <v>0</v>
      </c>
    </row>
    <row r="169" customFormat="false" ht="14.45" hidden="false" customHeight="false" outlineLevel="0" collapsed="false">
      <c r="A169" s="22" t="s">
        <v>298</v>
      </c>
      <c r="B169" s="22" t="s">
        <v>300</v>
      </c>
      <c r="C169" s="22" t="n">
        <v>0</v>
      </c>
      <c r="D169" s="22" t="s">
        <v>207</v>
      </c>
      <c r="E169" s="23" t="n">
        <v>0</v>
      </c>
    </row>
    <row r="170" customFormat="false" ht="14.45" hidden="false" customHeight="false" outlineLevel="0" collapsed="false">
      <c r="A170" s="22" t="s">
        <v>298</v>
      </c>
      <c r="B170" s="22" t="s">
        <v>300</v>
      </c>
      <c r="C170" s="22" t="n">
        <v>0</v>
      </c>
      <c r="D170" s="22" t="s">
        <v>205</v>
      </c>
      <c r="E170" s="23" t="n">
        <v>0</v>
      </c>
    </row>
    <row r="171" customFormat="false" ht="14.45" hidden="false" customHeight="false" outlineLevel="0" collapsed="false">
      <c r="A171" s="22" t="s">
        <v>298</v>
      </c>
      <c r="B171" s="22" t="s">
        <v>300</v>
      </c>
      <c r="C171" s="22" t="s">
        <v>301</v>
      </c>
      <c r="D171" s="22" t="s">
        <v>209</v>
      </c>
      <c r="E171" s="23" t="n">
        <v>15093</v>
      </c>
    </row>
    <row r="172" customFormat="false" ht="14.45" hidden="false" customHeight="false" outlineLevel="0" collapsed="false">
      <c r="A172" s="22" t="s">
        <v>298</v>
      </c>
      <c r="B172" s="22" t="s">
        <v>306</v>
      </c>
      <c r="C172" s="22" t="n">
        <v>0</v>
      </c>
      <c r="D172" s="22" t="s">
        <v>209</v>
      </c>
      <c r="E172" s="23" t="n">
        <v>0</v>
      </c>
    </row>
    <row r="173" customFormat="false" ht="14.45" hidden="false" customHeight="false" outlineLevel="0" collapsed="false">
      <c r="A173" s="22" t="s">
        <v>298</v>
      </c>
      <c r="B173" s="22" t="s">
        <v>306</v>
      </c>
      <c r="C173" s="22" t="n">
        <v>0</v>
      </c>
      <c r="D173" s="22" t="s">
        <v>207</v>
      </c>
      <c r="E173" s="23" t="n">
        <v>0</v>
      </c>
    </row>
    <row r="174" customFormat="false" ht="14.45" hidden="false" customHeight="false" outlineLevel="0" collapsed="false">
      <c r="A174" s="22" t="s">
        <v>298</v>
      </c>
      <c r="B174" s="22" t="s">
        <v>306</v>
      </c>
      <c r="C174" s="22" t="s">
        <v>307</v>
      </c>
      <c r="D174" s="22" t="s">
        <v>206</v>
      </c>
      <c r="E174" s="23" t="n">
        <v>52064.65</v>
      </c>
    </row>
    <row r="175" customFormat="false" ht="14.45" hidden="false" customHeight="false" outlineLevel="0" collapsed="false">
      <c r="A175" s="22" t="s">
        <v>298</v>
      </c>
      <c r="B175" s="22" t="s">
        <v>306</v>
      </c>
      <c r="C175" s="22" t="s">
        <v>307</v>
      </c>
      <c r="D175" s="22" t="s">
        <v>205</v>
      </c>
      <c r="E175" s="23" t="n">
        <v>48819.435</v>
      </c>
    </row>
    <row r="176" customFormat="false" ht="14.45" hidden="false" customHeight="false" outlineLevel="0" collapsed="false">
      <c r="A176" s="22" t="s">
        <v>308</v>
      </c>
      <c r="B176" s="22" t="s">
        <v>313</v>
      </c>
      <c r="C176" s="22" t="n">
        <v>0</v>
      </c>
      <c r="D176" s="22" t="s">
        <v>206</v>
      </c>
      <c r="E176" s="23" t="n">
        <v>0</v>
      </c>
    </row>
    <row r="177" customFormat="false" ht="14.45" hidden="false" customHeight="false" outlineLevel="0" collapsed="false">
      <c r="A177" s="22" t="s">
        <v>308</v>
      </c>
      <c r="B177" s="22" t="s">
        <v>313</v>
      </c>
      <c r="C177" s="22" t="n">
        <v>0</v>
      </c>
      <c r="D177" s="22" t="s">
        <v>207</v>
      </c>
      <c r="E177" s="23" t="n">
        <v>0</v>
      </c>
    </row>
    <row r="178" customFormat="false" ht="14.45" hidden="false" customHeight="false" outlineLevel="0" collapsed="false">
      <c r="A178" s="22" t="s">
        <v>308</v>
      </c>
      <c r="B178" s="22" t="s">
        <v>313</v>
      </c>
      <c r="C178" s="22" t="n">
        <v>0</v>
      </c>
      <c r="D178" s="22" t="s">
        <v>205</v>
      </c>
      <c r="E178" s="23" t="n">
        <v>0</v>
      </c>
    </row>
    <row r="179" customFormat="false" ht="14.45" hidden="false" customHeight="false" outlineLevel="0" collapsed="false">
      <c r="A179" s="22" t="s">
        <v>308</v>
      </c>
      <c r="B179" s="22" t="s">
        <v>313</v>
      </c>
      <c r="C179" s="22" t="s">
        <v>314</v>
      </c>
      <c r="D179" s="22" t="s">
        <v>209</v>
      </c>
      <c r="E179" s="23" t="n">
        <v>30996</v>
      </c>
    </row>
    <row r="180" customFormat="false" ht="14.45" hidden="false" customHeight="false" outlineLevel="0" collapsed="false">
      <c r="A180" s="22" t="s">
        <v>308</v>
      </c>
      <c r="B180" s="22" t="s">
        <v>311</v>
      </c>
      <c r="C180" s="22" t="n">
        <v>0</v>
      </c>
      <c r="D180" s="22" t="s">
        <v>206</v>
      </c>
      <c r="E180" s="23" t="n">
        <v>0</v>
      </c>
    </row>
    <row r="181" customFormat="false" ht="14.45" hidden="false" customHeight="false" outlineLevel="0" collapsed="false">
      <c r="A181" s="22" t="s">
        <v>308</v>
      </c>
      <c r="B181" s="22" t="s">
        <v>311</v>
      </c>
      <c r="C181" s="22" t="n">
        <v>0</v>
      </c>
      <c r="D181" s="22" t="s">
        <v>205</v>
      </c>
      <c r="E181" s="23" t="n">
        <v>0</v>
      </c>
    </row>
    <row r="182" customFormat="false" ht="14.45" hidden="false" customHeight="false" outlineLevel="0" collapsed="false">
      <c r="A182" s="22" t="s">
        <v>308</v>
      </c>
      <c r="B182" s="22" t="s">
        <v>311</v>
      </c>
      <c r="C182" s="22" t="s">
        <v>312</v>
      </c>
      <c r="D182" s="22" t="s">
        <v>209</v>
      </c>
      <c r="E182" s="23" t="n">
        <v>20859.3</v>
      </c>
    </row>
    <row r="183" customFormat="false" ht="14.45" hidden="false" customHeight="false" outlineLevel="0" collapsed="false">
      <c r="A183" s="22" t="s">
        <v>308</v>
      </c>
      <c r="B183" s="22" t="s">
        <v>311</v>
      </c>
      <c r="C183" s="22" t="s">
        <v>312</v>
      </c>
      <c r="D183" s="22" t="s">
        <v>207</v>
      </c>
      <c r="E183" s="23" t="n">
        <v>19761</v>
      </c>
    </row>
    <row r="184" customFormat="false" ht="14.45" hidden="false" customHeight="false" outlineLevel="0" collapsed="false">
      <c r="A184" s="22" t="s">
        <v>308</v>
      </c>
      <c r="B184" s="22" t="s">
        <v>309</v>
      </c>
      <c r="C184" s="22" t="n">
        <v>0</v>
      </c>
      <c r="D184" s="22" t="s">
        <v>206</v>
      </c>
      <c r="E184" s="23" t="n">
        <v>0</v>
      </c>
    </row>
    <row r="185" customFormat="false" ht="14.45" hidden="false" customHeight="false" outlineLevel="0" collapsed="false">
      <c r="A185" s="22" t="s">
        <v>308</v>
      </c>
      <c r="B185" s="22" t="s">
        <v>309</v>
      </c>
      <c r="C185" s="22" t="n">
        <v>0</v>
      </c>
      <c r="D185" s="22" t="s">
        <v>205</v>
      </c>
      <c r="E185" s="23" t="n">
        <v>0</v>
      </c>
    </row>
    <row r="186" customFormat="false" ht="14.45" hidden="false" customHeight="false" outlineLevel="0" collapsed="false">
      <c r="A186" s="22" t="s">
        <v>308</v>
      </c>
      <c r="B186" s="22" t="s">
        <v>309</v>
      </c>
      <c r="C186" s="22" t="s">
        <v>310</v>
      </c>
      <c r="D186" s="22" t="s">
        <v>209</v>
      </c>
      <c r="E186" s="23" t="n">
        <v>45719.1</v>
      </c>
    </row>
    <row r="187" customFormat="false" ht="14.45" hidden="false" customHeight="false" outlineLevel="0" collapsed="false">
      <c r="A187" s="22" t="s">
        <v>308</v>
      </c>
      <c r="B187" s="22" t="s">
        <v>309</v>
      </c>
      <c r="C187" s="22" t="s">
        <v>310</v>
      </c>
      <c r="D187" s="22" t="s">
        <v>207</v>
      </c>
      <c r="E187" s="23" t="n">
        <v>43214</v>
      </c>
    </row>
    <row r="188" customFormat="false" ht="14.45" hidden="false" customHeight="false" outlineLevel="0" collapsed="false">
      <c r="A188" s="22" t="s">
        <v>317</v>
      </c>
      <c r="B188" s="22"/>
      <c r="C188" s="22"/>
      <c r="D188" s="22"/>
      <c r="E188" s="23" t="n">
        <v>1976872.3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Sans,Обычный"&amp;12&amp;Kffffff&amp;A</oddHeader>
    <oddFooter>&amp;C&amp;"PT Sans,Обычный"&amp;12&amp;KffffffСтраница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1156</TotalTime>
  <Application>AlterOffice/2026.2.0.0$Linux_X86_64 LibreOffice_project/bc4ef1adf80b36c7a6365f8ed6cbf29021361edd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2026-09-09T09:06:14Z</dcterms:created>
  <dc:creator>openpyxl</dc:creator>
  <dc:description/>
  <dc:language>ru-RU</dc:language>
  <cp:lastModifiedBy>su</cp:lastModifiedBy>
  <dcterms:modified xsi:type="dcterms:W3CDTF">2026-10-29T11:48:09Z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